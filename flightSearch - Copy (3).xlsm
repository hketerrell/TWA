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hkexpress-my.sharepoint.com/personal/terrellty_wong_hkexpress_com/Documents/"/>
    </mc:Choice>
  </mc:AlternateContent>
  <xr:revisionPtr revIDLastSave="50712" documentId="104_{58FD6072-7C78-46AF-A997-E0EA78200BA6}" xr6:coauthVersionLast="47" xr6:coauthVersionMax="47" xr10:uidLastSave="{BC0C3AFC-F73A-4405-A6F0-D3C9D3EB844A}"/>
  <bookViews>
    <workbookView xWindow="28680" yWindow="2625" windowWidth="16440" windowHeight="28320" tabRatio="497" xr2:uid="{E40EA668-3C68-4206-AE67-89294C9EE560}"/>
  </bookViews>
  <sheets>
    <sheet name="Table 2" sheetId="3" r:id="rId1"/>
    <sheet name="Assign" sheetId="14" r:id="rId2"/>
    <sheet name="DWA" sheetId="7" r:id="rId3"/>
    <sheet name="PN FAST" sheetId="12" r:id="rId4"/>
    <sheet name="Filter" sheetId="13" r:id="rId5"/>
    <sheet name="Lucky" sheetId="11" r:id="rId6"/>
  </sheets>
  <functionGroups builtInGroupCount="19"/>
  <definedNames>
    <definedName name="_xlnm._FilterDatabase" localSheetId="0" hidden="1">'Table 2'!#REF!</definedName>
    <definedName name="_xleta.IF" hidden="1" xlm="1">#NAME?</definedName>
    <definedName name="_xleta.MIN" hidden="1" xlm="1">#NAME?</definedName>
    <definedName name="_xleta.ROW" hidden="1" xlm="1">#NAME?</definedName>
    <definedName name="_xleta.T" hidden="1" xlm="1">#NAME?</definedName>
    <definedName name="ExternalData_1" localSheetId="2" hidden="1">DWA!$A$1:$H$65</definedName>
    <definedName name="ExternalData_1" localSheetId="0">'Table 2'!#REF!</definedName>
    <definedName name="ExternalData_2" localSheetId="0" hidden="1">'Table 2'!$A$1:$J$288</definedName>
    <definedName name="_xlnm.Print_Area" localSheetId="0">'Table 2'!$R$132:$R$132</definedName>
    <definedName name="S">'Table 2'!#REF!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K2" i="3"/>
  <c r="K3" i="3"/>
  <c r="K4" i="3"/>
  <c r="K5" i="3"/>
  <c r="K6" i="3"/>
  <c r="K7" i="3"/>
  <c r="K8" i="3"/>
  <c r="P8" i="3" s="1"/>
  <c r="K9" i="3"/>
  <c r="P9" i="3" s="1"/>
  <c r="K10" i="3"/>
  <c r="K11" i="3"/>
  <c r="K12" i="3"/>
  <c r="K13" i="3"/>
  <c r="K14" i="3"/>
  <c r="K15" i="3"/>
  <c r="K16" i="3"/>
  <c r="P16" i="3" s="1"/>
  <c r="K17" i="3"/>
  <c r="P17" i="3" s="1"/>
  <c r="K18" i="3"/>
  <c r="K19" i="3"/>
  <c r="K20" i="3"/>
  <c r="K21" i="3"/>
  <c r="K22" i="3"/>
  <c r="K23" i="3"/>
  <c r="K24" i="3"/>
  <c r="P24" i="3" s="1"/>
  <c r="K25" i="3"/>
  <c r="P25" i="3" s="1"/>
  <c r="K26" i="3"/>
  <c r="K27" i="3"/>
  <c r="K28" i="3"/>
  <c r="K29" i="3"/>
  <c r="K30" i="3"/>
  <c r="K31" i="3"/>
  <c r="K32" i="3"/>
  <c r="P32" i="3" s="1"/>
  <c r="K33" i="3"/>
  <c r="P33" i="3" s="1"/>
  <c r="K34" i="3"/>
  <c r="K35" i="3"/>
  <c r="K36" i="3"/>
  <c r="K37" i="3"/>
  <c r="K38" i="3"/>
  <c r="K39" i="3"/>
  <c r="K40" i="3"/>
  <c r="P40" i="3" s="1"/>
  <c r="K41" i="3"/>
  <c r="P41" i="3" s="1"/>
  <c r="K42" i="3"/>
  <c r="K43" i="3"/>
  <c r="K44" i="3"/>
  <c r="K45" i="3"/>
  <c r="K46" i="3"/>
  <c r="K47" i="3"/>
  <c r="K48" i="3"/>
  <c r="P48" i="3" s="1"/>
  <c r="K49" i="3"/>
  <c r="P49" i="3" s="1"/>
  <c r="K50" i="3"/>
  <c r="K51" i="3"/>
  <c r="K52" i="3"/>
  <c r="K53" i="3"/>
  <c r="K54" i="3"/>
  <c r="K55" i="3"/>
  <c r="K56" i="3"/>
  <c r="P56" i="3" s="1"/>
  <c r="K57" i="3"/>
  <c r="P57" i="3" s="1"/>
  <c r="K58" i="3"/>
  <c r="K59" i="3"/>
  <c r="K60" i="3"/>
  <c r="K61" i="3"/>
  <c r="K62" i="3"/>
  <c r="K63" i="3"/>
  <c r="K64" i="3"/>
  <c r="P64" i="3" s="1"/>
  <c r="K65" i="3"/>
  <c r="P65" i="3" s="1"/>
  <c r="K66" i="3"/>
  <c r="K67" i="3"/>
  <c r="K68" i="3"/>
  <c r="K69" i="3"/>
  <c r="K70" i="3"/>
  <c r="K71" i="3"/>
  <c r="K72" i="3"/>
  <c r="P72" i="3" s="1"/>
  <c r="K73" i="3"/>
  <c r="P73" i="3" s="1"/>
  <c r="K74" i="3"/>
  <c r="K75" i="3"/>
  <c r="K76" i="3"/>
  <c r="K77" i="3"/>
  <c r="K78" i="3"/>
  <c r="K79" i="3"/>
  <c r="K80" i="3"/>
  <c r="P80" i="3" s="1"/>
  <c r="K81" i="3"/>
  <c r="P81" i="3" s="1"/>
  <c r="K82" i="3"/>
  <c r="K83" i="3"/>
  <c r="K84" i="3"/>
  <c r="K85" i="3"/>
  <c r="K86" i="3"/>
  <c r="K87" i="3"/>
  <c r="K88" i="3"/>
  <c r="P88" i="3" s="1"/>
  <c r="K89" i="3"/>
  <c r="P89" i="3" s="1"/>
  <c r="K90" i="3"/>
  <c r="K91" i="3"/>
  <c r="K92" i="3"/>
  <c r="K93" i="3"/>
  <c r="K94" i="3"/>
  <c r="P94" i="3" s="1"/>
  <c r="N94" i="3" s="1" a="1"/>
  <c r="N94" i="3" s="1"/>
  <c r="Q94" i="3" s="1"/>
  <c r="R94" i="3" s="1"/>
  <c r="K95" i="3"/>
  <c r="K96" i="3"/>
  <c r="P96" i="3" s="1"/>
  <c r="K97" i="3"/>
  <c r="P97" i="3" s="1"/>
  <c r="K98" i="3"/>
  <c r="K99" i="3"/>
  <c r="K100" i="3"/>
  <c r="K101" i="3"/>
  <c r="K102" i="3"/>
  <c r="P102" i="3" s="1"/>
  <c r="K103" i="3"/>
  <c r="K104" i="3"/>
  <c r="K105" i="3"/>
  <c r="P105" i="3" s="1"/>
  <c r="K106" i="3"/>
  <c r="K107" i="3"/>
  <c r="K108" i="3"/>
  <c r="K109" i="3"/>
  <c r="K110" i="3"/>
  <c r="P110" i="3" s="1"/>
  <c r="K111" i="3"/>
  <c r="K112" i="3"/>
  <c r="P112" i="3" s="1"/>
  <c r="K113" i="3"/>
  <c r="P113" i="3" s="1"/>
  <c r="K114" i="3"/>
  <c r="K115" i="3"/>
  <c r="K116" i="3"/>
  <c r="K117" i="3"/>
  <c r="K118" i="3"/>
  <c r="P118" i="3" s="1"/>
  <c r="N118" i="3" s="1" a="1"/>
  <c r="N118" i="3" s="1"/>
  <c r="Q118" i="3" s="1"/>
  <c r="R118" i="3" s="1"/>
  <c r="K119" i="3"/>
  <c r="K120" i="3"/>
  <c r="P120" i="3" s="1"/>
  <c r="K121" i="3"/>
  <c r="P121" i="3" s="1"/>
  <c r="K122" i="3"/>
  <c r="K123" i="3"/>
  <c r="K124" i="3"/>
  <c r="K125" i="3"/>
  <c r="K126" i="3"/>
  <c r="K127" i="3"/>
  <c r="K128" i="3"/>
  <c r="P128" i="3" s="1"/>
  <c r="K129" i="3"/>
  <c r="P129" i="3" s="1"/>
  <c r="K130" i="3"/>
  <c r="K131" i="3"/>
  <c r="K132" i="3"/>
  <c r="K133" i="3"/>
  <c r="K134" i="3"/>
  <c r="K135" i="3"/>
  <c r="K136" i="3"/>
  <c r="P136" i="3" s="1"/>
  <c r="K137" i="3"/>
  <c r="P137" i="3" s="1"/>
  <c r="K138" i="3"/>
  <c r="K139" i="3"/>
  <c r="K140" i="3"/>
  <c r="K141" i="3"/>
  <c r="K142" i="3"/>
  <c r="P142" i="3" s="1"/>
  <c r="K143" i="3"/>
  <c r="K144" i="3"/>
  <c r="P144" i="3" s="1"/>
  <c r="K145" i="3"/>
  <c r="P145" i="3" s="1"/>
  <c r="K146" i="3"/>
  <c r="K147" i="3"/>
  <c r="K148" i="3"/>
  <c r="K149" i="3"/>
  <c r="K150" i="3"/>
  <c r="P150" i="3" s="1"/>
  <c r="K151" i="3"/>
  <c r="K152" i="3"/>
  <c r="P152" i="3" s="1"/>
  <c r="K153" i="3"/>
  <c r="P153" i="3" s="1"/>
  <c r="K154" i="3"/>
  <c r="K155" i="3"/>
  <c r="K156" i="3"/>
  <c r="K157" i="3"/>
  <c r="K158" i="3"/>
  <c r="K159" i="3"/>
  <c r="K160" i="3"/>
  <c r="P160" i="3" s="1"/>
  <c r="K161" i="3"/>
  <c r="P161" i="3" s="1"/>
  <c r="K162" i="3"/>
  <c r="K163" i="3"/>
  <c r="K164" i="3"/>
  <c r="K165" i="3"/>
  <c r="K166" i="3"/>
  <c r="K167" i="3"/>
  <c r="K168" i="3"/>
  <c r="P168" i="3" s="1"/>
  <c r="K169" i="3"/>
  <c r="P169" i="3" s="1"/>
  <c r="N169" i="3" s="1" a="1"/>
  <c r="N169" i="3" s="1"/>
  <c r="Q169" i="3" s="1"/>
  <c r="R169" i="3" s="1"/>
  <c r="K170" i="3"/>
  <c r="K171" i="3"/>
  <c r="K172" i="3"/>
  <c r="K173" i="3"/>
  <c r="K174" i="3"/>
  <c r="P174" i="3" s="1"/>
  <c r="N174" i="3" s="1" a="1"/>
  <c r="N174" i="3" s="1"/>
  <c r="Q174" i="3" s="1"/>
  <c r="R174" i="3" s="1"/>
  <c r="K175" i="3"/>
  <c r="K176" i="3"/>
  <c r="P176" i="3" s="1"/>
  <c r="K177" i="3"/>
  <c r="P177" i="3" s="1"/>
  <c r="K178" i="3"/>
  <c r="K179" i="3"/>
  <c r="K180" i="3"/>
  <c r="K181" i="3"/>
  <c r="K182" i="3"/>
  <c r="K183" i="3"/>
  <c r="K184" i="3"/>
  <c r="P184" i="3" s="1"/>
  <c r="K185" i="3"/>
  <c r="P185" i="3" s="1"/>
  <c r="K186" i="3"/>
  <c r="K187" i="3"/>
  <c r="K188" i="3"/>
  <c r="K189" i="3"/>
  <c r="K190" i="3"/>
  <c r="K191" i="3"/>
  <c r="K192" i="3"/>
  <c r="P192" i="3" s="1"/>
  <c r="K193" i="3"/>
  <c r="P193" i="3" s="1"/>
  <c r="K194" i="3"/>
  <c r="K195" i="3"/>
  <c r="K196" i="3"/>
  <c r="K197" i="3"/>
  <c r="K198" i="3"/>
  <c r="K199" i="3"/>
  <c r="K200" i="3"/>
  <c r="P200" i="3" s="1"/>
  <c r="K201" i="3"/>
  <c r="P201" i="3" s="1"/>
  <c r="K202" i="3"/>
  <c r="K203" i="3"/>
  <c r="K204" i="3"/>
  <c r="K205" i="3"/>
  <c r="K206" i="3"/>
  <c r="P206" i="3" s="1"/>
  <c r="K207" i="3"/>
  <c r="K208" i="3"/>
  <c r="P208" i="3" s="1"/>
  <c r="K209" i="3"/>
  <c r="P209" i="3" s="1"/>
  <c r="K210" i="3"/>
  <c r="K211" i="3"/>
  <c r="K212" i="3"/>
  <c r="K213" i="3"/>
  <c r="K214" i="3"/>
  <c r="K215" i="3"/>
  <c r="K216" i="3"/>
  <c r="P216" i="3" s="1"/>
  <c r="K217" i="3"/>
  <c r="P217" i="3" s="1"/>
  <c r="K218" i="3"/>
  <c r="K219" i="3"/>
  <c r="K220" i="3"/>
  <c r="K221" i="3"/>
  <c r="K222" i="3"/>
  <c r="K223" i="3"/>
  <c r="K224" i="3"/>
  <c r="P224" i="3" s="1"/>
  <c r="K225" i="3"/>
  <c r="P225" i="3" s="1"/>
  <c r="K226" i="3"/>
  <c r="K227" i="3"/>
  <c r="K228" i="3"/>
  <c r="K229" i="3"/>
  <c r="K230" i="3"/>
  <c r="K231" i="3"/>
  <c r="K232" i="3"/>
  <c r="P232" i="3" s="1"/>
  <c r="K233" i="3"/>
  <c r="P233" i="3" s="1"/>
  <c r="K234" i="3"/>
  <c r="K235" i="3"/>
  <c r="K236" i="3"/>
  <c r="K237" i="3"/>
  <c r="K238" i="3"/>
  <c r="P238" i="3" s="1"/>
  <c r="K239" i="3"/>
  <c r="K240" i="3"/>
  <c r="P240" i="3" s="1"/>
  <c r="K241" i="3"/>
  <c r="P241" i="3" s="1"/>
  <c r="K242" i="3"/>
  <c r="K243" i="3"/>
  <c r="K244" i="3"/>
  <c r="K245" i="3"/>
  <c r="K246" i="3"/>
  <c r="K247" i="3"/>
  <c r="K248" i="3"/>
  <c r="P248" i="3" s="1"/>
  <c r="K249" i="3"/>
  <c r="P249" i="3" s="1"/>
  <c r="K250" i="3"/>
  <c r="K251" i="3"/>
  <c r="K252" i="3"/>
  <c r="K253" i="3"/>
  <c r="K254" i="3"/>
  <c r="K255" i="3"/>
  <c r="K256" i="3"/>
  <c r="P256" i="3" s="1"/>
  <c r="K257" i="3"/>
  <c r="P257" i="3" s="1"/>
  <c r="K258" i="3"/>
  <c r="K259" i="3"/>
  <c r="K260" i="3"/>
  <c r="K261" i="3"/>
  <c r="K262" i="3"/>
  <c r="K263" i="3"/>
  <c r="K264" i="3"/>
  <c r="P264" i="3" s="1"/>
  <c r="K265" i="3"/>
  <c r="P265" i="3" s="1"/>
  <c r="K266" i="3"/>
  <c r="K267" i="3"/>
  <c r="K268" i="3"/>
  <c r="K269" i="3"/>
  <c r="K270" i="3"/>
  <c r="P270" i="3" s="1"/>
  <c r="N270" i="3" s="1" a="1"/>
  <c r="N270" i="3" s="1"/>
  <c r="Q270" i="3" s="1"/>
  <c r="R270" i="3" s="1"/>
  <c r="K271" i="3"/>
  <c r="K272" i="3"/>
  <c r="P272" i="3" s="1"/>
  <c r="K273" i="3"/>
  <c r="P273" i="3" s="1"/>
  <c r="K274" i="3"/>
  <c r="K275" i="3"/>
  <c r="K276" i="3"/>
  <c r="K277" i="3"/>
  <c r="K278" i="3"/>
  <c r="K279" i="3"/>
  <c r="K280" i="3"/>
  <c r="P280" i="3" s="1"/>
  <c r="K281" i="3"/>
  <c r="P281" i="3" s="1"/>
  <c r="K282" i="3"/>
  <c r="K283" i="3"/>
  <c r="K284" i="3"/>
  <c r="K285" i="3"/>
  <c r="K286" i="3"/>
  <c r="K287" i="3"/>
  <c r="K288" i="3"/>
  <c r="P288" i="3" s="1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P2" i="3"/>
  <c r="P3" i="3"/>
  <c r="P4" i="3"/>
  <c r="P5" i="3"/>
  <c r="P6" i="3"/>
  <c r="P7" i="3"/>
  <c r="P10" i="3"/>
  <c r="P11" i="3"/>
  <c r="N11" i="3" s="1" a="1"/>
  <c r="N11" i="3" s="1"/>
  <c r="Q11" i="3" s="1"/>
  <c r="R11" i="3" s="1"/>
  <c r="P12" i="3"/>
  <c r="P13" i="3"/>
  <c r="P14" i="3"/>
  <c r="P15" i="3"/>
  <c r="P18" i="3"/>
  <c r="P19" i="3"/>
  <c r="N19" i="3" s="1" a="1"/>
  <c r="N19" i="3" s="1"/>
  <c r="Q19" i="3" s="1"/>
  <c r="R19" i="3" s="1"/>
  <c r="P20" i="3"/>
  <c r="N20" i="3" s="1" a="1"/>
  <c r="N20" i="3" s="1"/>
  <c r="Q20" i="3" s="1"/>
  <c r="P21" i="3"/>
  <c r="P22" i="3"/>
  <c r="N22" i="3" s="1" a="1"/>
  <c r="N22" i="3" s="1"/>
  <c r="Q22" i="3" s="1"/>
  <c r="R22" i="3" s="1"/>
  <c r="P23" i="3"/>
  <c r="N23" i="3" s="1" a="1"/>
  <c r="N23" i="3" s="1"/>
  <c r="P26" i="3"/>
  <c r="N26" i="3" s="1" a="1"/>
  <c r="N26" i="3" s="1"/>
  <c r="P27" i="3"/>
  <c r="N27" i="3" s="1" a="1"/>
  <c r="N27" i="3" s="1"/>
  <c r="Q27" i="3" s="1"/>
  <c r="R27" i="3" s="1"/>
  <c r="P28" i="3"/>
  <c r="N28" i="3" s="1" a="1"/>
  <c r="N28" i="3" s="1"/>
  <c r="Q28" i="3" s="1"/>
  <c r="P29" i="3"/>
  <c r="N29" i="3" s="1" a="1"/>
  <c r="N29" i="3" s="1"/>
  <c r="P30" i="3"/>
  <c r="P31" i="3"/>
  <c r="N31" i="3" s="1" a="1"/>
  <c r="N31" i="3" s="1"/>
  <c r="Q31" i="3" s="1"/>
  <c r="R31" i="3" s="1"/>
  <c r="P34" i="3"/>
  <c r="P35" i="3"/>
  <c r="N35" i="3" s="1" a="1"/>
  <c r="N35" i="3" s="1"/>
  <c r="Q35" i="3" s="1"/>
  <c r="R35" i="3" s="1"/>
  <c r="P36" i="3"/>
  <c r="N36" i="3" s="1" a="1"/>
  <c r="N36" i="3" s="1"/>
  <c r="Q36" i="3" s="1"/>
  <c r="P37" i="3"/>
  <c r="P38" i="3"/>
  <c r="P39" i="3"/>
  <c r="N39" i="3" s="1" a="1"/>
  <c r="N39" i="3" s="1"/>
  <c r="Q39" i="3" s="1"/>
  <c r="R39" i="3" s="1"/>
  <c r="P42" i="3"/>
  <c r="P43" i="3"/>
  <c r="N43" i="3" s="1" a="1"/>
  <c r="N43" i="3" s="1"/>
  <c r="Q43" i="3" s="1"/>
  <c r="R43" i="3" s="1"/>
  <c r="P44" i="3"/>
  <c r="P45" i="3"/>
  <c r="P46" i="3"/>
  <c r="P47" i="3"/>
  <c r="N47" i="3" s="1" a="1"/>
  <c r="N47" i="3" s="1"/>
  <c r="Q47" i="3" s="1"/>
  <c r="R47" i="3" s="1"/>
  <c r="P50" i="3"/>
  <c r="P51" i="3"/>
  <c r="N51" i="3" s="1" a="1"/>
  <c r="N51" i="3" s="1"/>
  <c r="Q51" i="3" s="1"/>
  <c r="R51" i="3" s="1"/>
  <c r="P52" i="3"/>
  <c r="P53" i="3"/>
  <c r="P54" i="3"/>
  <c r="N54" i="3" s="1" a="1"/>
  <c r="N54" i="3" s="1"/>
  <c r="Q54" i="3" s="1"/>
  <c r="R54" i="3" s="1"/>
  <c r="P55" i="3"/>
  <c r="P58" i="3"/>
  <c r="P59" i="3"/>
  <c r="N59" i="3" s="1" a="1"/>
  <c r="N59" i="3" s="1"/>
  <c r="Q59" i="3" s="1"/>
  <c r="R59" i="3" s="1"/>
  <c r="P60" i="3"/>
  <c r="P61" i="3"/>
  <c r="P62" i="3"/>
  <c r="P63" i="3"/>
  <c r="N63" i="3" s="1" a="1"/>
  <c r="N63" i="3" s="1"/>
  <c r="Q63" i="3" s="1"/>
  <c r="R63" i="3" s="1"/>
  <c r="P66" i="3"/>
  <c r="P67" i="3"/>
  <c r="P68" i="3"/>
  <c r="N68" i="3" s="1" a="1"/>
  <c r="N68" i="3" s="1"/>
  <c r="Q68" i="3" s="1"/>
  <c r="R68" i="3" s="1"/>
  <c r="P69" i="3"/>
  <c r="P70" i="3"/>
  <c r="P71" i="3"/>
  <c r="P74" i="3"/>
  <c r="P75" i="3"/>
  <c r="N75" i="3" s="1" a="1"/>
  <c r="N75" i="3" s="1"/>
  <c r="Q75" i="3" s="1"/>
  <c r="R75" i="3" s="1"/>
  <c r="P76" i="3"/>
  <c r="N76" i="3" s="1" a="1"/>
  <c r="N76" i="3" s="1"/>
  <c r="Q76" i="3" s="1"/>
  <c r="R76" i="3" s="1"/>
  <c r="P77" i="3"/>
  <c r="P78" i="3"/>
  <c r="P79" i="3"/>
  <c r="N79" i="3" s="1" a="1"/>
  <c r="N79" i="3" s="1"/>
  <c r="Q79" i="3" s="1"/>
  <c r="R79" i="3" s="1"/>
  <c r="P82" i="3"/>
  <c r="P83" i="3"/>
  <c r="N83" i="3" s="1" a="1"/>
  <c r="N83" i="3" s="1"/>
  <c r="Q83" i="3" s="1"/>
  <c r="R83" i="3" s="1"/>
  <c r="P84" i="3"/>
  <c r="N84" i="3" s="1" a="1"/>
  <c r="N84" i="3" s="1"/>
  <c r="Q84" i="3" s="1"/>
  <c r="P85" i="3"/>
  <c r="P86" i="3"/>
  <c r="N86" i="3" s="1" a="1"/>
  <c r="N86" i="3" s="1"/>
  <c r="Q86" i="3" s="1"/>
  <c r="R86" i="3" s="1"/>
  <c r="P87" i="3"/>
  <c r="P90" i="3"/>
  <c r="P91" i="3"/>
  <c r="N91" i="3" s="1" a="1"/>
  <c r="N91" i="3" s="1"/>
  <c r="P92" i="3"/>
  <c r="P93" i="3"/>
  <c r="N93" i="3" s="1" a="1"/>
  <c r="N93" i="3" s="1"/>
  <c r="Q93" i="3" s="1"/>
  <c r="R93" i="3" s="1"/>
  <c r="P95" i="3"/>
  <c r="P98" i="3"/>
  <c r="P99" i="3"/>
  <c r="P100" i="3"/>
  <c r="N100" i="3" s="1" a="1"/>
  <c r="N100" i="3" s="1"/>
  <c r="Q100" i="3" s="1"/>
  <c r="P101" i="3"/>
  <c r="N101" i="3" s="1" a="1"/>
  <c r="N101" i="3" s="1"/>
  <c r="Q101" i="3" s="1"/>
  <c r="R101" i="3" s="1"/>
  <c r="P103" i="3"/>
  <c r="P104" i="3"/>
  <c r="P106" i="3"/>
  <c r="N106" i="3" s="1" a="1"/>
  <c r="N106" i="3" s="1"/>
  <c r="P107" i="3"/>
  <c r="N107" i="3" s="1" a="1"/>
  <c r="N107" i="3" s="1"/>
  <c r="Q107" i="3" s="1"/>
  <c r="R107" i="3" s="1"/>
  <c r="P108" i="3"/>
  <c r="P109" i="3"/>
  <c r="P111" i="3"/>
  <c r="P114" i="3"/>
  <c r="P115" i="3"/>
  <c r="N115" i="3" s="1" a="1"/>
  <c r="N115" i="3" s="1"/>
  <c r="Q115" i="3" s="1"/>
  <c r="R115" i="3" s="1"/>
  <c r="P116" i="3"/>
  <c r="N116" i="3" s="1" a="1"/>
  <c r="N116" i="3" s="1"/>
  <c r="Q116" i="3" s="1"/>
  <c r="P117" i="3"/>
  <c r="P119" i="3"/>
  <c r="P122" i="3"/>
  <c r="N122" i="3" s="1" a="1"/>
  <c r="N122" i="3" s="1"/>
  <c r="Q122" i="3" s="1"/>
  <c r="R122" i="3" s="1"/>
  <c r="P123" i="3"/>
  <c r="N123" i="3" s="1" a="1"/>
  <c r="N123" i="3" s="1"/>
  <c r="Q123" i="3" s="1"/>
  <c r="R123" i="3" s="1"/>
  <c r="P124" i="3"/>
  <c r="P125" i="3"/>
  <c r="N125" i="3" s="1" a="1"/>
  <c r="N125" i="3" s="1"/>
  <c r="Q125" i="3" s="1"/>
  <c r="R125" i="3" s="1"/>
  <c r="P126" i="3"/>
  <c r="P127" i="3"/>
  <c r="P130" i="3"/>
  <c r="P131" i="3"/>
  <c r="P132" i="3"/>
  <c r="N132" i="3" s="1" a="1"/>
  <c r="N132" i="3" s="1"/>
  <c r="Q132" i="3" s="1"/>
  <c r="R132" i="3" s="1"/>
  <c r="P133" i="3"/>
  <c r="P134" i="3"/>
  <c r="P135" i="3"/>
  <c r="P138" i="3"/>
  <c r="P139" i="3"/>
  <c r="P140" i="3"/>
  <c r="P141" i="3"/>
  <c r="P143" i="3"/>
  <c r="P146" i="3"/>
  <c r="P147" i="3"/>
  <c r="P148" i="3"/>
  <c r="P149" i="3"/>
  <c r="N149" i="3" s="1" a="1"/>
  <c r="N149" i="3" s="1"/>
  <c r="Q149" i="3" s="1"/>
  <c r="R149" i="3" s="1"/>
  <c r="P151" i="3"/>
  <c r="P154" i="3"/>
  <c r="P155" i="3"/>
  <c r="P156" i="3"/>
  <c r="N156" i="3" s="1" a="1"/>
  <c r="N156" i="3" s="1"/>
  <c r="Q156" i="3" s="1"/>
  <c r="R156" i="3" s="1"/>
  <c r="P157" i="3"/>
  <c r="N157" i="3" s="1" a="1"/>
  <c r="N157" i="3" s="1"/>
  <c r="P158" i="3"/>
  <c r="N158" i="3" s="1" a="1"/>
  <c r="N158" i="3" s="1"/>
  <c r="Q158" i="3" s="1"/>
  <c r="R158" i="3" s="1"/>
  <c r="P159" i="3"/>
  <c r="P162" i="3"/>
  <c r="P163" i="3"/>
  <c r="P164" i="3"/>
  <c r="P165" i="3"/>
  <c r="P166" i="3"/>
  <c r="N166" i="3" s="1" a="1"/>
  <c r="N166" i="3" s="1"/>
  <c r="Q166" i="3" s="1"/>
  <c r="R166" i="3" s="1"/>
  <c r="P167" i="3"/>
  <c r="N167" i="3" s="1" a="1"/>
  <c r="N167" i="3" s="1"/>
  <c r="Q167" i="3" s="1"/>
  <c r="R167" i="3" s="1"/>
  <c r="P170" i="3"/>
  <c r="N170" i="3" s="1" a="1"/>
  <c r="N170" i="3" s="1"/>
  <c r="P171" i="3"/>
  <c r="N171" i="3" s="1" a="1"/>
  <c r="N171" i="3" s="1"/>
  <c r="Q171" i="3" s="1"/>
  <c r="R171" i="3" s="1"/>
  <c r="P172" i="3"/>
  <c r="N172" i="3" s="1" a="1"/>
  <c r="N172" i="3" s="1"/>
  <c r="Q172" i="3" s="1"/>
  <c r="R172" i="3" s="1"/>
  <c r="P173" i="3"/>
  <c r="N173" i="3" s="1" a="1"/>
  <c r="N173" i="3" s="1"/>
  <c r="Q173" i="3" s="1"/>
  <c r="R173" i="3" s="1"/>
  <c r="P175" i="3"/>
  <c r="N175" i="3" s="1" a="1"/>
  <c r="N175" i="3" s="1"/>
  <c r="Q175" i="3" s="1"/>
  <c r="R175" i="3" s="1"/>
  <c r="P178" i="3"/>
  <c r="N178" i="3" s="1" a="1"/>
  <c r="N178" i="3" s="1"/>
  <c r="Q178" i="3" s="1"/>
  <c r="R178" i="3" s="1"/>
  <c r="P179" i="3"/>
  <c r="N179" i="3" s="1" a="1"/>
  <c r="N179" i="3" s="1"/>
  <c r="Q179" i="3" s="1"/>
  <c r="R179" i="3" s="1"/>
  <c r="P180" i="3"/>
  <c r="N180" i="3" s="1" a="1"/>
  <c r="N180" i="3" s="1"/>
  <c r="Q180" i="3" s="1"/>
  <c r="R180" i="3" s="1"/>
  <c r="P181" i="3"/>
  <c r="N181" i="3" s="1" a="1"/>
  <c r="N181" i="3" s="1"/>
  <c r="Q181" i="3" s="1"/>
  <c r="R181" i="3" s="1"/>
  <c r="P182" i="3"/>
  <c r="N182" i="3" s="1" a="1"/>
  <c r="N182" i="3" s="1"/>
  <c r="Q182" i="3" s="1"/>
  <c r="R182" i="3" s="1"/>
  <c r="P183" i="3"/>
  <c r="N183" i="3" s="1" a="1"/>
  <c r="N183" i="3" s="1"/>
  <c r="Q183" i="3" s="1"/>
  <c r="R183" i="3" s="1"/>
  <c r="P186" i="3"/>
  <c r="P187" i="3"/>
  <c r="N187" i="3" s="1" a="1"/>
  <c r="N187" i="3" s="1"/>
  <c r="Q187" i="3" s="1"/>
  <c r="R187" i="3" s="1"/>
  <c r="P188" i="3"/>
  <c r="N188" i="3" s="1" a="1"/>
  <c r="N188" i="3" s="1"/>
  <c r="Q188" i="3" s="1"/>
  <c r="R188" i="3" s="1"/>
  <c r="P189" i="3"/>
  <c r="N189" i="3" s="1" a="1"/>
  <c r="N189" i="3" s="1"/>
  <c r="Q189" i="3" s="1"/>
  <c r="R189" i="3" s="1"/>
  <c r="P190" i="3"/>
  <c r="N190" i="3" s="1" a="1"/>
  <c r="N190" i="3" s="1"/>
  <c r="Q190" i="3" s="1"/>
  <c r="R190" i="3" s="1"/>
  <c r="P191" i="3"/>
  <c r="P194" i="3"/>
  <c r="N194" i="3" s="1" a="1"/>
  <c r="N194" i="3" s="1"/>
  <c r="Q194" i="3" s="1"/>
  <c r="R194" i="3" s="1"/>
  <c r="P195" i="3"/>
  <c r="N195" i="3" s="1" a="1"/>
  <c r="N195" i="3" s="1"/>
  <c r="Q195" i="3" s="1"/>
  <c r="R195" i="3" s="1"/>
  <c r="P196" i="3"/>
  <c r="P197" i="3"/>
  <c r="N197" i="3" s="1" a="1"/>
  <c r="N197" i="3" s="1"/>
  <c r="Q197" i="3" s="1"/>
  <c r="R197" i="3" s="1"/>
  <c r="P198" i="3"/>
  <c r="P199" i="3"/>
  <c r="N199" i="3" s="1" a="1"/>
  <c r="N199" i="3" s="1"/>
  <c r="Q199" i="3" s="1"/>
  <c r="R199" i="3" s="1"/>
  <c r="P202" i="3"/>
  <c r="N202" i="3" s="1" a="1"/>
  <c r="N202" i="3" s="1"/>
  <c r="Q202" i="3" s="1"/>
  <c r="R202" i="3" s="1"/>
  <c r="P203" i="3"/>
  <c r="P204" i="3"/>
  <c r="P205" i="3"/>
  <c r="N205" i="3" s="1" a="1"/>
  <c r="N205" i="3" s="1"/>
  <c r="Q205" i="3" s="1"/>
  <c r="R205" i="3" s="1"/>
  <c r="P207" i="3"/>
  <c r="P210" i="3"/>
  <c r="N210" i="3" s="1" a="1"/>
  <c r="N210" i="3" s="1"/>
  <c r="Q210" i="3" s="1"/>
  <c r="R210" i="3" s="1"/>
  <c r="P211" i="3"/>
  <c r="P212" i="3"/>
  <c r="N212" i="3" s="1" a="1"/>
  <c r="N212" i="3" s="1"/>
  <c r="Q212" i="3" s="1"/>
  <c r="R212" i="3" s="1"/>
  <c r="P213" i="3"/>
  <c r="P214" i="3"/>
  <c r="N214" i="3" s="1" a="1"/>
  <c r="N214" i="3" s="1"/>
  <c r="Q214" i="3" s="1"/>
  <c r="R214" i="3" s="1"/>
  <c r="P215" i="3"/>
  <c r="N215" i="3" s="1" a="1"/>
  <c r="N215" i="3" s="1"/>
  <c r="Q215" i="3" s="1"/>
  <c r="R215" i="3" s="1"/>
  <c r="P218" i="3"/>
  <c r="P219" i="3"/>
  <c r="N219" i="3" s="1" a="1"/>
  <c r="N219" i="3" s="1"/>
  <c r="P220" i="3"/>
  <c r="P221" i="3"/>
  <c r="N221" i="3" s="1" a="1"/>
  <c r="N221" i="3" s="1"/>
  <c r="Q221" i="3" s="1"/>
  <c r="R221" i="3" s="1"/>
  <c r="P222" i="3"/>
  <c r="N222" i="3" s="1" a="1"/>
  <c r="N222" i="3" s="1"/>
  <c r="Q222" i="3" s="1"/>
  <c r="R222" i="3" s="1"/>
  <c r="P223" i="3"/>
  <c r="P226" i="3"/>
  <c r="P227" i="3"/>
  <c r="N227" i="3" s="1" a="1"/>
  <c r="N227" i="3" s="1"/>
  <c r="P228" i="3"/>
  <c r="P229" i="3"/>
  <c r="N229" i="3" s="1" a="1"/>
  <c r="N229" i="3" s="1"/>
  <c r="Q229" i="3" s="1"/>
  <c r="R229" i="3" s="1"/>
  <c r="P230" i="3"/>
  <c r="P231" i="3"/>
  <c r="N231" i="3" s="1" a="1"/>
  <c r="N231" i="3" s="1"/>
  <c r="P234" i="3"/>
  <c r="P235" i="3"/>
  <c r="P236" i="3"/>
  <c r="N236" i="3" s="1" a="1"/>
  <c r="N236" i="3" s="1"/>
  <c r="Q236" i="3" s="1"/>
  <c r="R236" i="3" s="1"/>
  <c r="P237" i="3"/>
  <c r="N237" i="3" s="1" a="1"/>
  <c r="N237" i="3" s="1"/>
  <c r="Q237" i="3" s="1"/>
  <c r="R237" i="3" s="1"/>
  <c r="P239" i="3"/>
  <c r="N239" i="3" s="1" a="1"/>
  <c r="N239" i="3" s="1"/>
  <c r="P242" i="3"/>
  <c r="N242" i="3" s="1" a="1"/>
  <c r="N242" i="3" s="1"/>
  <c r="Q242" i="3" s="1"/>
  <c r="R242" i="3" s="1"/>
  <c r="P243" i="3"/>
  <c r="P244" i="3"/>
  <c r="P245" i="3"/>
  <c r="N245" i="3" s="1" a="1"/>
  <c r="N245" i="3" s="1"/>
  <c r="Q245" i="3" s="1"/>
  <c r="R245" i="3" s="1"/>
  <c r="P246" i="3"/>
  <c r="P247" i="3"/>
  <c r="N247" i="3" s="1" a="1"/>
  <c r="N247" i="3" s="1"/>
  <c r="Q247" i="3" s="1"/>
  <c r="R247" i="3" s="1"/>
  <c r="P250" i="3"/>
  <c r="P251" i="3"/>
  <c r="P252" i="3"/>
  <c r="N252" i="3" s="1" a="1"/>
  <c r="N252" i="3" s="1"/>
  <c r="Q252" i="3" s="1"/>
  <c r="R252" i="3" s="1"/>
  <c r="P253" i="3"/>
  <c r="P254" i="3"/>
  <c r="N254" i="3" s="1" a="1"/>
  <c r="N254" i="3" s="1"/>
  <c r="Q254" i="3" s="1"/>
  <c r="R254" i="3" s="1"/>
  <c r="P255" i="3"/>
  <c r="N255" i="3" s="1" a="1"/>
  <c r="N255" i="3" s="1"/>
  <c r="Q255" i="3" s="1"/>
  <c r="R255" i="3" s="1"/>
  <c r="P258" i="3"/>
  <c r="P259" i="3"/>
  <c r="P260" i="3"/>
  <c r="P261" i="3"/>
  <c r="P262" i="3"/>
  <c r="N262" i="3" s="1" a="1"/>
  <c r="N262" i="3" s="1"/>
  <c r="P263" i="3"/>
  <c r="N263" i="3" s="1" a="1"/>
  <c r="N263" i="3" s="1"/>
  <c r="Q263" i="3" s="1"/>
  <c r="R263" i="3" s="1"/>
  <c r="P266" i="3"/>
  <c r="P267" i="3"/>
  <c r="P268" i="3"/>
  <c r="P269" i="3"/>
  <c r="P271" i="3"/>
  <c r="P274" i="3"/>
  <c r="N274" i="3" s="1" a="1"/>
  <c r="N274" i="3" s="1"/>
  <c r="Q274" i="3" s="1"/>
  <c r="R274" i="3" s="1"/>
  <c r="P275" i="3"/>
  <c r="P276" i="3"/>
  <c r="N276" i="3" s="1" a="1"/>
  <c r="N276" i="3" s="1"/>
  <c r="Q276" i="3" s="1"/>
  <c r="R276" i="3" s="1"/>
  <c r="P277" i="3"/>
  <c r="P278" i="3"/>
  <c r="P279" i="3"/>
  <c r="P282" i="3"/>
  <c r="P283" i="3"/>
  <c r="P284" i="3"/>
  <c r="P285" i="3"/>
  <c r="P286" i="3"/>
  <c r="P287" i="3"/>
  <c r="Q2" i="3"/>
  <c r="R2" i="3" s="1"/>
  <c r="Q3" i="3"/>
  <c r="R3" i="3" s="1"/>
  <c r="Q4" i="3"/>
  <c r="Q5" i="3"/>
  <c r="R5" i="3" s="1"/>
  <c r="Q6" i="3"/>
  <c r="R6" i="3" s="1"/>
  <c r="Q7" i="3"/>
  <c r="R7" i="3" s="1"/>
  <c r="Q8" i="3"/>
  <c r="R8" i="3" s="1"/>
  <c r="Q12" i="3"/>
  <c r="R12" i="3" s="1"/>
  <c r="Q13" i="3"/>
  <c r="R13" i="3" s="1"/>
  <c r="Q14" i="3"/>
  <c r="R14" i="3" s="1"/>
  <c r="Q15" i="3"/>
  <c r="R15" i="3" s="1"/>
  <c r="Q16" i="3"/>
  <c r="R16" i="3" s="1"/>
  <c r="Q17" i="3"/>
  <c r="R17" i="3" s="1"/>
  <c r="Q18" i="3"/>
  <c r="R18" i="3" s="1"/>
  <c r="Q23" i="3"/>
  <c r="R23" i="3" s="1"/>
  <c r="Q26" i="3"/>
  <c r="R26" i="3" s="1"/>
  <c r="Q29" i="3"/>
  <c r="R29" i="3" s="1"/>
  <c r="Q41" i="3"/>
  <c r="R41" i="3" s="1"/>
  <c r="Q44" i="3"/>
  <c r="Q45" i="3"/>
  <c r="R45" i="3" s="1"/>
  <c r="Q49" i="3"/>
  <c r="R49" i="3" s="1"/>
  <c r="Q52" i="3"/>
  <c r="R52" i="3" s="1"/>
  <c r="Q55" i="3"/>
  <c r="R55" i="3" s="1"/>
  <c r="Q58" i="3"/>
  <c r="R58" i="3" s="1"/>
  <c r="Q60" i="3"/>
  <c r="R60" i="3" s="1"/>
  <c r="Q61" i="3"/>
  <c r="R61" i="3" s="1"/>
  <c r="Q62" i="3"/>
  <c r="R62" i="3" s="1"/>
  <c r="Q65" i="3"/>
  <c r="R65" i="3" s="1"/>
  <c r="Q67" i="3"/>
  <c r="R67" i="3" s="1"/>
  <c r="Q69" i="3"/>
  <c r="R69" i="3" s="1"/>
  <c r="Q71" i="3"/>
  <c r="R71" i="3" s="1"/>
  <c r="Q73" i="3"/>
  <c r="R73" i="3" s="1"/>
  <c r="Q77" i="3"/>
  <c r="R77" i="3" s="1"/>
  <c r="Q78" i="3"/>
  <c r="R78" i="3" s="1"/>
  <c r="Q80" i="3"/>
  <c r="R80" i="3" s="1"/>
  <c r="Q81" i="3"/>
  <c r="R81" i="3" s="1"/>
  <c r="Q82" i="3"/>
  <c r="R82" i="3" s="1"/>
  <c r="Q85" i="3"/>
  <c r="R85" i="3" s="1"/>
  <c r="Q87" i="3"/>
  <c r="R87" i="3" s="1"/>
  <c r="Q90" i="3"/>
  <c r="R90" i="3" s="1"/>
  <c r="Q91" i="3"/>
  <c r="R91" i="3" s="1"/>
  <c r="Q92" i="3"/>
  <c r="R92" i="3" s="1"/>
  <c r="Q95" i="3"/>
  <c r="R95" i="3" s="1"/>
  <c r="Q96" i="3"/>
  <c r="R96" i="3" s="1"/>
  <c r="Q98" i="3"/>
  <c r="R98" i="3" s="1"/>
  <c r="Q102" i="3"/>
  <c r="R102" i="3" s="1"/>
  <c r="Q103" i="3"/>
  <c r="R103" i="3" s="1"/>
  <c r="Q104" i="3"/>
  <c r="R104" i="3" s="1"/>
  <c r="Q106" i="3"/>
  <c r="R106" i="3" s="1"/>
  <c r="Q108" i="3"/>
  <c r="R108" i="3" s="1"/>
  <c r="Q109" i="3"/>
  <c r="R109" i="3" s="1"/>
  <c r="Q110" i="3"/>
  <c r="R110" i="3" s="1"/>
  <c r="Q111" i="3"/>
  <c r="R111" i="3" s="1"/>
  <c r="Q112" i="3"/>
  <c r="R112" i="3" s="1"/>
  <c r="Q113" i="3"/>
  <c r="R113" i="3" s="1"/>
  <c r="Q114" i="3"/>
  <c r="R114" i="3" s="1"/>
  <c r="Q117" i="3"/>
  <c r="R117" i="3" s="1"/>
  <c r="Q119" i="3"/>
  <c r="R119" i="3" s="1"/>
  <c r="Q121" i="3"/>
  <c r="R121" i="3" s="1"/>
  <c r="Q124" i="3"/>
  <c r="Q126" i="3"/>
  <c r="R126" i="3" s="1"/>
  <c r="Q127" i="3"/>
  <c r="R127" i="3" s="1"/>
  <c r="Q128" i="3"/>
  <c r="R128" i="3" s="1"/>
  <c r="Q130" i="3"/>
  <c r="R130" i="3" s="1"/>
  <c r="Q131" i="3"/>
  <c r="R131" i="3" s="1"/>
  <c r="Q133" i="3"/>
  <c r="R133" i="3" s="1"/>
  <c r="Q134" i="3"/>
  <c r="R134" i="3" s="1"/>
  <c r="Q135" i="3"/>
  <c r="R135" i="3" s="1"/>
  <c r="Q137" i="3"/>
  <c r="R137" i="3" s="1"/>
  <c r="Q138" i="3"/>
  <c r="R138" i="3" s="1"/>
  <c r="Q139" i="3"/>
  <c r="R139" i="3" s="1"/>
  <c r="Q140" i="3"/>
  <c r="R140" i="3" s="1"/>
  <c r="Q141" i="3"/>
  <c r="R141" i="3" s="1"/>
  <c r="Q142" i="3"/>
  <c r="R142" i="3" s="1"/>
  <c r="Q143" i="3"/>
  <c r="R143" i="3" s="1"/>
  <c r="Q145" i="3"/>
  <c r="R145" i="3" s="1"/>
  <c r="Q146" i="3"/>
  <c r="R146" i="3" s="1"/>
  <c r="Q147" i="3"/>
  <c r="R147" i="3" s="1"/>
  <c r="Q148" i="3"/>
  <c r="R148" i="3" s="1"/>
  <c r="Q150" i="3"/>
  <c r="R150" i="3" s="1"/>
  <c r="Q151" i="3"/>
  <c r="R151" i="3" s="1"/>
  <c r="Q152" i="3"/>
  <c r="R152" i="3" s="1"/>
  <c r="Q153" i="3"/>
  <c r="R153" i="3" s="1"/>
  <c r="Q154" i="3"/>
  <c r="R154" i="3" s="1"/>
  <c r="Q155" i="3"/>
  <c r="R155" i="3" s="1"/>
  <c r="Q157" i="3"/>
  <c r="R157" i="3" s="1"/>
  <c r="Q159" i="3"/>
  <c r="R159" i="3" s="1"/>
  <c r="Q160" i="3"/>
  <c r="R160" i="3" s="1"/>
  <c r="Q161" i="3"/>
  <c r="R161" i="3" s="1"/>
  <c r="Q162" i="3"/>
  <c r="R162" i="3" s="1"/>
  <c r="Q163" i="3"/>
  <c r="R163" i="3" s="1"/>
  <c r="Q164" i="3"/>
  <c r="Q165" i="3"/>
  <c r="R165" i="3" s="1"/>
  <c r="Q170" i="3"/>
  <c r="R170" i="3" s="1"/>
  <c r="Q186" i="3"/>
  <c r="R186" i="3" s="1"/>
  <c r="Q191" i="3"/>
  <c r="R191" i="3" s="1"/>
  <c r="Q192" i="3"/>
  <c r="R192" i="3" s="1"/>
  <c r="Q196" i="3"/>
  <c r="Q198" i="3"/>
  <c r="Q200" i="3"/>
  <c r="R200" i="3" s="1"/>
  <c r="Q204" i="3"/>
  <c r="R204" i="3" s="1"/>
  <c r="Q206" i="3"/>
  <c r="R206" i="3" s="1"/>
  <c r="Q207" i="3"/>
  <c r="R207" i="3" s="1"/>
  <c r="Q208" i="3"/>
  <c r="R208" i="3" s="1"/>
  <c r="Q211" i="3"/>
  <c r="Q213" i="3"/>
  <c r="R213" i="3" s="1"/>
  <c r="Q216" i="3"/>
  <c r="Q218" i="3"/>
  <c r="R218" i="3" s="1"/>
  <c r="Q219" i="3"/>
  <c r="Q220" i="3"/>
  <c r="R220" i="3" s="1"/>
  <c r="Q223" i="3"/>
  <c r="R223" i="3" s="1"/>
  <c r="Q224" i="3"/>
  <c r="R224" i="3" s="1"/>
  <c r="Q226" i="3"/>
  <c r="R226" i="3" s="1"/>
  <c r="Q227" i="3"/>
  <c r="R227" i="3" s="1"/>
  <c r="Q228" i="3"/>
  <c r="R228" i="3" s="1"/>
  <c r="Q230" i="3"/>
  <c r="R230" i="3" s="1"/>
  <c r="Q231" i="3"/>
  <c r="R231" i="3" s="1"/>
  <c r="Q232" i="3"/>
  <c r="Q234" i="3"/>
  <c r="R234" i="3" s="1"/>
  <c r="Q235" i="3"/>
  <c r="R235" i="3" s="1"/>
  <c r="Q238" i="3"/>
  <c r="Q239" i="3"/>
  <c r="R239" i="3" s="1"/>
  <c r="Q240" i="3"/>
  <c r="R240" i="3" s="1"/>
  <c r="Q243" i="3"/>
  <c r="R243" i="3" s="1"/>
  <c r="Q244" i="3"/>
  <c r="R244" i="3" s="1"/>
  <c r="Q246" i="3"/>
  <c r="R246" i="3" s="1"/>
  <c r="Q249" i="3"/>
  <c r="R249" i="3" s="1"/>
  <c r="Q250" i="3"/>
  <c r="R250" i="3" s="1"/>
  <c r="Q251" i="3"/>
  <c r="Q253" i="3"/>
  <c r="R253" i="3" s="1"/>
  <c r="Q256" i="3"/>
  <c r="R256" i="3" s="1"/>
  <c r="Q257" i="3"/>
  <c r="R257" i="3" s="1"/>
  <c r="Q258" i="3"/>
  <c r="R258" i="3" s="1"/>
  <c r="Q259" i="3"/>
  <c r="R259" i="3" s="1"/>
  <c r="Q260" i="3"/>
  <c r="R260" i="3" s="1"/>
  <c r="Q261" i="3"/>
  <c r="R261" i="3" s="1"/>
  <c r="Q262" i="3"/>
  <c r="R262" i="3" s="1"/>
  <c r="Q264" i="3"/>
  <c r="R264" i="3" s="1"/>
  <c r="Q266" i="3"/>
  <c r="R266" i="3" s="1"/>
  <c r="Q268" i="3"/>
  <c r="R268" i="3" s="1"/>
  <c r="Q269" i="3"/>
  <c r="R269" i="3" s="1"/>
  <c r="Q271" i="3"/>
  <c r="R271" i="3" s="1"/>
  <c r="Q272" i="3"/>
  <c r="R272" i="3" s="1"/>
  <c r="Q273" i="3"/>
  <c r="R273" i="3" s="1"/>
  <c r="Q275" i="3"/>
  <c r="R275" i="3" s="1"/>
  <c r="Q277" i="3"/>
  <c r="R277" i="3" s="1"/>
  <c r="Q278" i="3"/>
  <c r="Q279" i="3"/>
  <c r="R279" i="3" s="1"/>
  <c r="Q280" i="3"/>
  <c r="Q282" i="3"/>
  <c r="Q283" i="3"/>
  <c r="R283" i="3" s="1"/>
  <c r="Q284" i="3"/>
  <c r="R284" i="3" s="1"/>
  <c r="Q285" i="3"/>
  <c r="R285" i="3" s="1"/>
  <c r="Q286" i="3"/>
  <c r="R286" i="3" s="1"/>
  <c r="Q287" i="3"/>
  <c r="R287" i="3" s="1"/>
  <c r="R4" i="3"/>
  <c r="R20" i="3"/>
  <c r="R28" i="3"/>
  <c r="R36" i="3"/>
  <c r="R44" i="3"/>
  <c r="R84" i="3"/>
  <c r="R100" i="3"/>
  <c r="R116" i="3"/>
  <c r="R124" i="3"/>
  <c r="R164" i="3"/>
  <c r="R196" i="3"/>
  <c r="R198" i="3"/>
  <c r="R211" i="3"/>
  <c r="R216" i="3"/>
  <c r="R219" i="3"/>
  <c r="R232" i="3"/>
  <c r="R238" i="3"/>
  <c r="R251" i="3"/>
  <c r="R278" i="3"/>
  <c r="R280" i="3"/>
  <c r="R282" i="3"/>
  <c r="B1" i="13" a="1"/>
  <c r="B1" i="13" s="1"/>
  <c r="L1" i="7"/>
  <c r="J2" i="7" s="1"/>
  <c r="C1" i="13" a="1"/>
  <c r="C1" i="13" s="1"/>
  <c r="G25" i="11"/>
  <c r="G23" i="11"/>
  <c r="G22" i="11"/>
  <c r="G21" i="11"/>
  <c r="C97" i="12"/>
  <c r="N286" i="3" l="1" a="1"/>
  <c r="N286" i="3" s="1"/>
  <c r="N279" i="3" a="1"/>
  <c r="N279" i="3" s="1"/>
  <c r="N271" i="3" a="1"/>
  <c r="N271" i="3" s="1"/>
  <c r="N204" i="3" a="1"/>
  <c r="N204" i="3" s="1"/>
  <c r="N159" i="3" a="1"/>
  <c r="N159" i="3" s="1"/>
  <c r="N148" i="3" a="1"/>
  <c r="N148" i="3" s="1"/>
  <c r="N135" i="3" a="1"/>
  <c r="N135" i="3" s="1"/>
  <c r="N114" i="3" a="1"/>
  <c r="N114" i="3" s="1"/>
  <c r="N58" i="3" a="1"/>
  <c r="N58" i="3" s="1"/>
  <c r="N4" i="3" a="1"/>
  <c r="N4" i="3" s="1"/>
  <c r="N234" i="3" a="1"/>
  <c r="N234" i="3" s="1"/>
  <c r="N283" i="3" a="1"/>
  <c r="N283" i="3" s="1"/>
  <c r="N260" i="3" a="1"/>
  <c r="N260" i="3" s="1"/>
  <c r="N250" i="3" a="1"/>
  <c r="N250" i="3" s="1"/>
  <c r="N268" i="3" a="1"/>
  <c r="N268" i="3" s="1"/>
  <c r="N258" i="3" a="1"/>
  <c r="N258" i="3" s="1"/>
  <c r="N246" i="3" a="1"/>
  <c r="N246" i="3" s="1"/>
  <c r="N235" i="3" a="1"/>
  <c r="N235" i="3" s="1"/>
  <c r="N223" i="3" a="1"/>
  <c r="N223" i="3" s="1"/>
  <c r="N213" i="3" a="1"/>
  <c r="N213" i="3" s="1"/>
  <c r="N143" i="3" a="1"/>
  <c r="N143" i="3" s="1"/>
  <c r="N278" i="3" a="1"/>
  <c r="N278" i="3" s="1"/>
  <c r="N285" i="3" a="1"/>
  <c r="N285" i="3" s="1"/>
  <c r="N275" i="3" a="1"/>
  <c r="N275" i="3" s="1"/>
  <c r="J65" i="7"/>
  <c r="J57" i="7"/>
  <c r="J49" i="7"/>
  <c r="J41" i="7"/>
  <c r="J33" i="7"/>
  <c r="J25" i="7"/>
  <c r="J17" i="7"/>
  <c r="J9" i="7"/>
  <c r="N282" i="3" a="1"/>
  <c r="N282" i="3" s="1"/>
  <c r="N269" i="3" a="1"/>
  <c r="N269" i="3" s="1"/>
  <c r="N259" i="3" a="1"/>
  <c r="N259" i="3" s="1"/>
  <c r="N226" i="3" a="1"/>
  <c r="N226" i="3" s="1"/>
  <c r="N191" i="3" a="1"/>
  <c r="N191" i="3" s="1"/>
  <c r="N147" i="3" a="1"/>
  <c r="N147" i="3" s="1"/>
  <c r="N134" i="3" a="1"/>
  <c r="N134" i="3" s="1"/>
  <c r="N124" i="3" a="1"/>
  <c r="N124" i="3" s="1"/>
  <c r="N111" i="3" a="1"/>
  <c r="N111" i="3" s="1"/>
  <c r="N87" i="3" a="1"/>
  <c r="N87" i="3" s="1"/>
  <c r="N77" i="3" a="1"/>
  <c r="N77" i="3" s="1"/>
  <c r="N67" i="3" a="1"/>
  <c r="N67" i="3" s="1"/>
  <c r="N55" i="3" a="1"/>
  <c r="N55" i="3" s="1"/>
  <c r="N45" i="3" a="1"/>
  <c r="N45" i="3" s="1"/>
  <c r="N13" i="3" a="1"/>
  <c r="N13" i="3" s="1"/>
  <c r="N3" i="3" a="1"/>
  <c r="N3" i="3" s="1"/>
  <c r="J64" i="7"/>
  <c r="J56" i="7"/>
  <c r="J48" i="7"/>
  <c r="J40" i="7"/>
  <c r="J32" i="7"/>
  <c r="J24" i="7"/>
  <c r="J16" i="7"/>
  <c r="J8" i="7"/>
  <c r="N146" i="3" a="1"/>
  <c r="N146" i="3" s="1"/>
  <c r="N133" i="3" a="1"/>
  <c r="N133" i="3" s="1"/>
  <c r="N109" i="3" a="1"/>
  <c r="N109" i="3" s="1"/>
  <c r="N44" i="3" a="1"/>
  <c r="N44" i="3" s="1"/>
  <c r="N12" i="3" a="1"/>
  <c r="N12" i="3" s="1"/>
  <c r="J63" i="7"/>
  <c r="J55" i="7"/>
  <c r="J47" i="7"/>
  <c r="J39" i="7"/>
  <c r="J31" i="7"/>
  <c r="J23" i="7"/>
  <c r="J15" i="7"/>
  <c r="J7" i="7"/>
  <c r="N238" i="3" a="1"/>
  <c r="N238" i="3" s="1"/>
  <c r="N150" i="3" a="1"/>
  <c r="N150" i="3" s="1"/>
  <c r="N142" i="3" a="1"/>
  <c r="N142" i="3" s="1"/>
  <c r="N110" i="3" a="1"/>
  <c r="N110" i="3" s="1"/>
  <c r="N102" i="3" a="1"/>
  <c r="N102" i="3" s="1"/>
  <c r="J62" i="7"/>
  <c r="J54" i="7"/>
  <c r="J46" i="7"/>
  <c r="J38" i="7"/>
  <c r="J30" i="7"/>
  <c r="J22" i="7"/>
  <c r="J14" i="7"/>
  <c r="J6" i="7"/>
  <c r="N108" i="3" a="1"/>
  <c r="N108" i="3" s="1"/>
  <c r="N85" i="3" a="1"/>
  <c r="N85" i="3" s="1"/>
  <c r="N206" i="3" a="1"/>
  <c r="N206" i="3" s="1"/>
  <c r="N287" i="3" a="1"/>
  <c r="N287" i="3" s="1"/>
  <c r="N277" i="3" a="1"/>
  <c r="N277" i="3" s="1"/>
  <c r="N266" i="3" a="1"/>
  <c r="N266" i="3" s="1"/>
  <c r="N244" i="3" a="1"/>
  <c r="N244" i="3" s="1"/>
  <c r="N211" i="3" a="1"/>
  <c r="N211" i="3" s="1"/>
  <c r="N165" i="3" a="1"/>
  <c r="N165" i="3" s="1"/>
  <c r="N155" i="3" a="1"/>
  <c r="N155" i="3" s="1"/>
  <c r="N141" i="3" a="1"/>
  <c r="N141" i="3" s="1"/>
  <c r="N119" i="3" a="1"/>
  <c r="N119" i="3" s="1"/>
  <c r="N95" i="3" a="1"/>
  <c r="N95" i="3" s="1"/>
  <c r="N52" i="3" a="1"/>
  <c r="N52" i="3" s="1"/>
  <c r="J61" i="7"/>
  <c r="J53" i="7"/>
  <c r="J45" i="7"/>
  <c r="J37" i="7"/>
  <c r="J29" i="7"/>
  <c r="J21" i="7"/>
  <c r="J13" i="7"/>
  <c r="J5" i="7"/>
  <c r="N253" i="3" a="1"/>
  <c r="N253" i="3" s="1"/>
  <c r="N243" i="3" a="1"/>
  <c r="N243" i="3" s="1"/>
  <c r="N230" i="3" a="1"/>
  <c r="N230" i="3" s="1"/>
  <c r="N220" i="3" a="1"/>
  <c r="N220" i="3" s="1"/>
  <c r="N164" i="3" a="1"/>
  <c r="N164" i="3" s="1"/>
  <c r="N154" i="3" a="1"/>
  <c r="N154" i="3" s="1"/>
  <c r="N140" i="3" a="1"/>
  <c r="N140" i="3" s="1"/>
  <c r="N130" i="3" a="1"/>
  <c r="N130" i="3" s="1"/>
  <c r="N117" i="3" a="1"/>
  <c r="N117" i="3" s="1"/>
  <c r="N71" i="3" a="1"/>
  <c r="N71" i="3" s="1"/>
  <c r="N61" i="3" a="1"/>
  <c r="N61" i="3" s="1"/>
  <c r="N7" i="3" a="1"/>
  <c r="N7" i="3" s="1"/>
  <c r="J60" i="7"/>
  <c r="J52" i="7"/>
  <c r="J44" i="7"/>
  <c r="J36" i="7"/>
  <c r="J28" i="7"/>
  <c r="J20" i="7"/>
  <c r="J12" i="7"/>
  <c r="J4" i="7"/>
  <c r="N207" i="3" a="1"/>
  <c r="N207" i="3" s="1"/>
  <c r="N196" i="3" a="1"/>
  <c r="N196" i="3" s="1"/>
  <c r="N186" i="3" a="1"/>
  <c r="N186" i="3" s="1"/>
  <c r="N163" i="3" a="1"/>
  <c r="N163" i="3" s="1"/>
  <c r="N151" i="3" a="1"/>
  <c r="N151" i="3" s="1"/>
  <c r="N139" i="3" a="1"/>
  <c r="N139" i="3" s="1"/>
  <c r="N127" i="3" a="1"/>
  <c r="N127" i="3" s="1"/>
  <c r="N104" i="3" a="1"/>
  <c r="N104" i="3" s="1"/>
  <c r="N92" i="3" a="1"/>
  <c r="N92" i="3" s="1"/>
  <c r="N60" i="3" a="1"/>
  <c r="N60" i="3" s="1"/>
  <c r="J59" i="7"/>
  <c r="J51" i="7"/>
  <c r="J43" i="7"/>
  <c r="J35" i="7"/>
  <c r="J27" i="7"/>
  <c r="J19" i="7"/>
  <c r="J11" i="7"/>
  <c r="J3" i="7"/>
  <c r="N284" i="3" a="1"/>
  <c r="N284" i="3" s="1"/>
  <c r="N261" i="3" a="1"/>
  <c r="N261" i="3" s="1"/>
  <c r="N251" i="3" a="1"/>
  <c r="N251" i="3" s="1"/>
  <c r="N228" i="3" a="1"/>
  <c r="N228" i="3" s="1"/>
  <c r="N218" i="3" a="1"/>
  <c r="N218" i="3" s="1"/>
  <c r="N162" i="3" a="1"/>
  <c r="N162" i="3" s="1"/>
  <c r="N138" i="3" a="1"/>
  <c r="N138" i="3" s="1"/>
  <c r="N103" i="3" a="1"/>
  <c r="N103" i="3" s="1"/>
  <c r="N15" i="3" a="1"/>
  <c r="N15" i="3" s="1"/>
  <c r="J58" i="7"/>
  <c r="J50" i="7"/>
  <c r="J42" i="7"/>
  <c r="J34" i="7"/>
  <c r="J26" i="7"/>
  <c r="J18" i="7"/>
  <c r="J10" i="7"/>
  <c r="N281" i="3" a="1"/>
  <c r="N281" i="3" s="1"/>
  <c r="Q281" i="3" s="1"/>
  <c r="R281" i="3" s="1"/>
  <c r="N273" i="3" a="1"/>
  <c r="N273" i="3" s="1"/>
  <c r="N265" i="3" a="1"/>
  <c r="N265" i="3" s="1"/>
  <c r="Q265" i="3" s="1"/>
  <c r="R265" i="3" s="1"/>
  <c r="N257" i="3" a="1"/>
  <c r="N257" i="3" s="1"/>
  <c r="N249" i="3" a="1"/>
  <c r="N249" i="3" s="1"/>
  <c r="N241" i="3" a="1"/>
  <c r="N241" i="3" s="1"/>
  <c r="Q241" i="3" s="1"/>
  <c r="R241" i="3" s="1"/>
  <c r="N233" i="3" a="1"/>
  <c r="N233" i="3" s="1"/>
  <c r="Q233" i="3" s="1"/>
  <c r="R233" i="3" s="1"/>
  <c r="N225" i="3" a="1"/>
  <c r="N225" i="3" s="1"/>
  <c r="Q225" i="3" s="1"/>
  <c r="R225" i="3" s="1"/>
  <c r="N217" i="3" a="1"/>
  <c r="N217" i="3" s="1"/>
  <c r="Q217" i="3" s="1"/>
  <c r="R217" i="3" s="1"/>
  <c r="N209" i="3" a="1"/>
  <c r="N209" i="3" s="1"/>
  <c r="Q209" i="3" s="1"/>
  <c r="R209" i="3" s="1"/>
  <c r="N201" i="3" a="1"/>
  <c r="N201" i="3" s="1"/>
  <c r="Q201" i="3" s="1"/>
  <c r="R201" i="3" s="1"/>
  <c r="N193" i="3" a="1"/>
  <c r="N193" i="3" s="1"/>
  <c r="Q193" i="3" s="1"/>
  <c r="R193" i="3" s="1"/>
  <c r="N185" i="3" a="1"/>
  <c r="N185" i="3" s="1"/>
  <c r="Q185" i="3" s="1"/>
  <c r="R185" i="3" s="1"/>
  <c r="N177" i="3" a="1"/>
  <c r="N177" i="3" s="1"/>
  <c r="Q177" i="3" s="1"/>
  <c r="R177" i="3" s="1"/>
  <c r="N161" i="3" a="1"/>
  <c r="N161" i="3" s="1"/>
  <c r="N153" i="3" a="1"/>
  <c r="N153" i="3" s="1"/>
  <c r="N145" i="3" a="1"/>
  <c r="N145" i="3" s="1"/>
  <c r="N137" i="3" a="1"/>
  <c r="N137" i="3" s="1"/>
  <c r="N129" i="3" a="1"/>
  <c r="N129" i="3" s="1"/>
  <c r="Q129" i="3" s="1"/>
  <c r="R129" i="3" s="1"/>
  <c r="N121" i="3" a="1"/>
  <c r="N121" i="3" s="1"/>
  <c r="N113" i="3" a="1"/>
  <c r="N113" i="3" s="1"/>
  <c r="N105" i="3" a="1"/>
  <c r="N105" i="3" s="1"/>
  <c r="Q105" i="3" s="1"/>
  <c r="R105" i="3" s="1"/>
  <c r="N97" i="3" a="1"/>
  <c r="N97" i="3" s="1"/>
  <c r="Q97" i="3" s="1"/>
  <c r="R97" i="3" s="1"/>
  <c r="N89" i="3" a="1"/>
  <c r="N89" i="3" s="1"/>
  <c r="Q89" i="3" s="1"/>
  <c r="R89" i="3" s="1"/>
  <c r="N81" i="3" a="1"/>
  <c r="N81" i="3" s="1"/>
  <c r="N73" i="3" a="1"/>
  <c r="N73" i="3" s="1"/>
  <c r="N65" i="3" a="1"/>
  <c r="N65" i="3" s="1"/>
  <c r="N57" i="3" a="1"/>
  <c r="N57" i="3" s="1"/>
  <c r="Q57" i="3" s="1"/>
  <c r="R57" i="3" s="1"/>
  <c r="N49" i="3" a="1"/>
  <c r="N49" i="3" s="1"/>
  <c r="N41" i="3" a="1"/>
  <c r="N41" i="3" s="1"/>
  <c r="N33" i="3" a="1"/>
  <c r="N33" i="3" s="1"/>
  <c r="Q33" i="3" s="1"/>
  <c r="R33" i="3" s="1"/>
  <c r="N25" i="3" a="1"/>
  <c r="N25" i="3" s="1"/>
  <c r="Q25" i="3" s="1"/>
  <c r="R25" i="3" s="1"/>
  <c r="N17" i="3" a="1"/>
  <c r="N17" i="3" s="1"/>
  <c r="N9" i="3" a="1"/>
  <c r="N9" i="3" s="1"/>
  <c r="Q9" i="3" s="1"/>
  <c r="R9" i="3" s="1"/>
  <c r="N126" i="3" a="1"/>
  <c r="N126" i="3" s="1"/>
  <c r="N288" i="3" a="1"/>
  <c r="N288" i="3" s="1"/>
  <c r="Q288" i="3" s="1"/>
  <c r="R288" i="3" s="1"/>
  <c r="N280" i="3" a="1"/>
  <c r="N280" i="3" s="1"/>
  <c r="N272" i="3" a="1"/>
  <c r="N272" i="3" s="1"/>
  <c r="N264" i="3" a="1"/>
  <c r="N264" i="3" s="1"/>
  <c r="N256" i="3" a="1"/>
  <c r="N256" i="3" s="1"/>
  <c r="N248" i="3" a="1"/>
  <c r="N248" i="3" s="1"/>
  <c r="Q248" i="3" s="1"/>
  <c r="R248" i="3" s="1"/>
  <c r="N240" i="3" a="1"/>
  <c r="N240" i="3" s="1"/>
  <c r="N232" i="3" a="1"/>
  <c r="N232" i="3" s="1"/>
  <c r="N224" i="3" a="1"/>
  <c r="N224" i="3" s="1"/>
  <c r="N216" i="3" a="1"/>
  <c r="N216" i="3" s="1"/>
  <c r="N208" i="3" a="1"/>
  <c r="N208" i="3" s="1"/>
  <c r="N200" i="3" a="1"/>
  <c r="N200" i="3" s="1"/>
  <c r="N192" i="3" a="1"/>
  <c r="N192" i="3" s="1"/>
  <c r="N184" i="3" a="1"/>
  <c r="N184" i="3" s="1"/>
  <c r="Q184" i="3" s="1"/>
  <c r="R184" i="3" s="1"/>
  <c r="N176" i="3" a="1"/>
  <c r="N176" i="3" s="1"/>
  <c r="Q176" i="3" s="1"/>
  <c r="R176" i="3" s="1"/>
  <c r="N168" i="3" a="1"/>
  <c r="N168" i="3" s="1"/>
  <c r="Q168" i="3" s="1"/>
  <c r="R168" i="3" s="1"/>
  <c r="N160" i="3" a="1"/>
  <c r="N160" i="3" s="1"/>
  <c r="N152" i="3" a="1"/>
  <c r="N152" i="3" s="1"/>
  <c r="N144" i="3" a="1"/>
  <c r="N144" i="3" s="1"/>
  <c r="Q144" i="3" s="1"/>
  <c r="R144" i="3" s="1"/>
  <c r="N136" i="3" a="1"/>
  <c r="N136" i="3" s="1"/>
  <c r="Q136" i="3" s="1"/>
  <c r="R136" i="3" s="1"/>
  <c r="N128" i="3" a="1"/>
  <c r="N128" i="3" s="1"/>
  <c r="N120" i="3" a="1"/>
  <c r="N120" i="3" s="1"/>
  <c r="Q120" i="3" s="1"/>
  <c r="R120" i="3" s="1"/>
  <c r="N112" i="3" a="1"/>
  <c r="N112" i="3" s="1"/>
  <c r="N96" i="3" a="1"/>
  <c r="N96" i="3" s="1"/>
  <c r="N88" i="3" a="1"/>
  <c r="N88" i="3" s="1"/>
  <c r="Q88" i="3" s="1"/>
  <c r="R88" i="3" s="1"/>
  <c r="N80" i="3" a="1"/>
  <c r="N80" i="3" s="1"/>
  <c r="N72" i="3" a="1"/>
  <c r="N72" i="3" s="1"/>
  <c r="Q72" i="3" s="1"/>
  <c r="R72" i="3" s="1"/>
  <c r="N64" i="3" a="1"/>
  <c r="N64" i="3" s="1"/>
  <c r="Q64" i="3" s="1"/>
  <c r="R64" i="3" s="1"/>
  <c r="N56" i="3" a="1"/>
  <c r="N56" i="3" s="1"/>
  <c r="Q56" i="3" s="1"/>
  <c r="R56" i="3" s="1"/>
  <c r="N48" i="3" a="1"/>
  <c r="N48" i="3" s="1"/>
  <c r="Q48" i="3" s="1"/>
  <c r="R48" i="3" s="1"/>
  <c r="N40" i="3" a="1"/>
  <c r="N40" i="3" s="1"/>
  <c r="Q40" i="3" s="1"/>
  <c r="R40" i="3" s="1"/>
  <c r="N32" i="3" a="1"/>
  <c r="N32" i="3" s="1"/>
  <c r="Q32" i="3" s="1"/>
  <c r="R32" i="3" s="1"/>
  <c r="N24" i="3" a="1"/>
  <c r="N24" i="3" s="1"/>
  <c r="Q24" i="3" s="1"/>
  <c r="R24" i="3" s="1"/>
  <c r="N16" i="3" a="1"/>
  <c r="N16" i="3" s="1"/>
  <c r="N8" i="3" a="1"/>
  <c r="N8" i="3" s="1"/>
  <c r="N198" i="3" a="1"/>
  <c r="N198" i="3" s="1"/>
  <c r="N62" i="3" a="1"/>
  <c r="N62" i="3" s="1"/>
  <c r="N30" i="3" a="1"/>
  <c r="N30" i="3" s="1"/>
  <c r="Q30" i="3" s="1"/>
  <c r="R30" i="3" s="1"/>
  <c r="N70" i="3" a="1"/>
  <c r="N70" i="3" s="1"/>
  <c r="Q70" i="3" s="1"/>
  <c r="R70" i="3" s="1"/>
  <c r="N38" i="3" a="1"/>
  <c r="N38" i="3" s="1"/>
  <c r="Q38" i="3" s="1"/>
  <c r="R38" i="3" s="1"/>
  <c r="N6" i="3" a="1"/>
  <c r="N6" i="3" s="1"/>
  <c r="N78" i="3" a="1"/>
  <c r="N78" i="3" s="1"/>
  <c r="N46" i="3" a="1"/>
  <c r="N46" i="3" s="1"/>
  <c r="Q46" i="3" s="1"/>
  <c r="R46" i="3" s="1"/>
  <c r="N14" i="3" a="1"/>
  <c r="N14" i="3" s="1"/>
  <c r="N267" i="3" a="1"/>
  <c r="N267" i="3" s="1"/>
  <c r="Q267" i="3" s="1"/>
  <c r="R267" i="3" s="1"/>
  <c r="N203" i="3" a="1"/>
  <c r="N203" i="3" s="1"/>
  <c r="Q203" i="3" s="1"/>
  <c r="R203" i="3" s="1"/>
  <c r="N131" i="3" a="1"/>
  <c r="N131" i="3" s="1"/>
  <c r="N99" i="3" a="1"/>
  <c r="N99" i="3" s="1"/>
  <c r="Q99" i="3" s="1"/>
  <c r="R99" i="3" s="1"/>
  <c r="N34" i="3" a="1"/>
  <c r="N34" i="3" s="1"/>
  <c r="Q34" i="3" s="1"/>
  <c r="R34" i="3" s="1"/>
  <c r="N2" i="3" a="1"/>
  <c r="N2" i="3" s="1"/>
  <c r="N66" i="3" a="1"/>
  <c r="N66" i="3" s="1"/>
  <c r="Q66" i="3" s="1"/>
  <c r="R66" i="3" s="1"/>
  <c r="N53" i="3" a="1"/>
  <c r="N53" i="3" s="1"/>
  <c r="Q53" i="3" s="1"/>
  <c r="R53" i="3" s="1"/>
  <c r="N21" i="3" a="1"/>
  <c r="N21" i="3" s="1"/>
  <c r="Q21" i="3" s="1"/>
  <c r="R21" i="3" s="1"/>
  <c r="N74" i="3" a="1"/>
  <c r="N74" i="3" s="1"/>
  <c r="Q74" i="3" s="1"/>
  <c r="R74" i="3" s="1"/>
  <c r="N42" i="3" a="1"/>
  <c r="N42" i="3" s="1"/>
  <c r="Q42" i="3" s="1"/>
  <c r="R42" i="3" s="1"/>
  <c r="N10" i="3" a="1"/>
  <c r="N10" i="3" s="1"/>
  <c r="Q10" i="3" s="1"/>
  <c r="R10" i="3" s="1"/>
  <c r="N82" i="3" a="1"/>
  <c r="N82" i="3" s="1"/>
  <c r="N50" i="3" a="1"/>
  <c r="N50" i="3" s="1"/>
  <c r="Q50" i="3" s="1"/>
  <c r="R50" i="3" s="1"/>
  <c r="N90" i="3" a="1"/>
  <c r="N90" i="3" s="1"/>
  <c r="N18" i="3" a="1"/>
  <c r="N18" i="3" s="1"/>
  <c r="N98" i="3" a="1"/>
  <c r="N98" i="3" s="1"/>
  <c r="N69" i="3" a="1"/>
  <c r="N69" i="3" s="1"/>
  <c r="N37" i="3" a="1"/>
  <c r="N37" i="3" s="1"/>
  <c r="Q37" i="3" s="1"/>
  <c r="R37" i="3" s="1"/>
  <c r="N5" i="3" a="1"/>
  <c r="N5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A" description="Connection to the 'DWA' query in the workbook." type="5" refreshedVersion="8" background="1" saveData="1">
    <dbPr connection="Provider=Microsoft.Mashup.OleDb.1;Data Source=$Workbook$;Location=DWA;Extended Properties=&quot;&quot;" command="SELECT * FROM [DWA]"/>
  </connection>
  <connection id="2" xr16:uid="{00000000-0015-0000-FFFF-FFFF01000000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<sst xmlns="http://schemas.openxmlformats.org/spreadsheetml/2006/main" count="3771" uniqueCount="1186">
  <si>
    <t>Flt. ID</t>
  </si>
  <si>
    <t>STA/STD</t>
  </si>
  <si>
    <t>ETA/ETD</t>
  </si>
  <si>
    <t>ATA/ATD</t>
  </si>
  <si>
    <t>O/D</t>
  </si>
  <si>
    <t>Column6</t>
  </si>
  <si>
    <t>Column7</t>
  </si>
  <si>
    <t>A/C</t>
  </si>
  <si>
    <t>Std</t>
  </si>
  <si>
    <t>Arr/ Dep</t>
  </si>
  <si>
    <t>Column2</t>
  </si>
  <si>
    <t>Radar</t>
  </si>
  <si>
    <t>Ground Time (hr)</t>
  </si>
  <si>
    <t>Work</t>
  </si>
  <si>
    <t>Date</t>
  </si>
  <si>
    <t>Ide</t>
  </si>
  <si>
    <t>UTC TIME</t>
  </si>
  <si>
    <t>1.5H B4 FLT</t>
  </si>
  <si>
    <t>MIC</t>
  </si>
  <si>
    <t>DIC</t>
  </si>
  <si>
    <t>T3</t>
  </si>
  <si>
    <t>UO 689</t>
  </si>
  <si>
    <t>KIX</t>
  </si>
  <si>
    <t>(Osaka/Kansai)</t>
  </si>
  <si>
    <t>BLCS</t>
  </si>
  <si>
    <t>D306L</t>
  </si>
  <si>
    <t>A</t>
  </si>
  <si>
    <t>UO 651</t>
  </si>
  <si>
    <t>NRT</t>
  </si>
  <si>
    <t>(Tokyo/NRT)</t>
  </si>
  <si>
    <t>BKKJ</t>
  </si>
  <si>
    <t>D206</t>
  </si>
  <si>
    <t>UO 685</t>
  </si>
  <si>
    <t>NGO</t>
  </si>
  <si>
    <t>(Nagoya)</t>
  </si>
  <si>
    <t>BKKO</t>
  </si>
  <si>
    <t>D202</t>
  </si>
  <si>
    <t>UO 616</t>
  </si>
  <si>
    <t>ICN</t>
  </si>
  <si>
    <t>(Seoul/ICN)</t>
  </si>
  <si>
    <t>BKKC</t>
  </si>
  <si>
    <t>D208</t>
  </si>
  <si>
    <t>D</t>
  </si>
  <si>
    <t>UO 627</t>
  </si>
  <si>
    <t>BKKP</t>
  </si>
  <si>
    <t>W126</t>
  </si>
  <si>
    <t>UO 863</t>
  </si>
  <si>
    <t>BLEH</t>
  </si>
  <si>
    <t>D201</t>
  </si>
  <si>
    <t>UO 533</t>
  </si>
  <si>
    <t>CRK</t>
  </si>
  <si>
    <t>(Clark)</t>
  </si>
  <si>
    <t>BLEF</t>
  </si>
  <si>
    <t>UO 693</t>
  </si>
  <si>
    <t>BKKE</t>
  </si>
  <si>
    <t>UO 717</t>
  </si>
  <si>
    <t>SZB</t>
  </si>
  <si>
    <t>(Subang)</t>
  </si>
  <si>
    <t>BHSM</t>
  </si>
  <si>
    <t>UO 854</t>
  </si>
  <si>
    <t>BKKF</t>
  </si>
  <si>
    <t>D210</t>
  </si>
  <si>
    <t>UO 676</t>
  </si>
  <si>
    <t>CJU</t>
  </si>
  <si>
    <t>(Jeju)</t>
  </si>
  <si>
    <t>UO 623</t>
  </si>
  <si>
    <t>HND</t>
  </si>
  <si>
    <t>(Tokyo/HND)</t>
  </si>
  <si>
    <t>BKKD</t>
  </si>
  <si>
    <t>D205</t>
  </si>
  <si>
    <t>UO 517</t>
  </si>
  <si>
    <t>MNL</t>
  </si>
  <si>
    <t>(Manila)</t>
  </si>
  <si>
    <t>BKKL</t>
  </si>
  <si>
    <t>UO 749</t>
  </si>
  <si>
    <t>PEN</t>
  </si>
  <si>
    <t>(Penang)</t>
  </si>
  <si>
    <t>BKKH</t>
  </si>
  <si>
    <t>D219</t>
  </si>
  <si>
    <t>UO 791</t>
  </si>
  <si>
    <t>BKI</t>
  </si>
  <si>
    <t>(Kota Kinabalu)</t>
  </si>
  <si>
    <t>BLEG</t>
  </si>
  <si>
    <t>UO 615</t>
  </si>
  <si>
    <t>BKKG</t>
  </si>
  <si>
    <t>S105</t>
  </si>
  <si>
    <t>UO 244</t>
  </si>
  <si>
    <t>KWE</t>
  </si>
  <si>
    <t>(Guiyang)</t>
  </si>
  <si>
    <t>BLCI</t>
  </si>
  <si>
    <t>D203</t>
  </si>
  <si>
    <t>UO 629</t>
  </si>
  <si>
    <t>BKKN</t>
  </si>
  <si>
    <t>D313</t>
  </si>
  <si>
    <t>UO 261</t>
  </si>
  <si>
    <t>PKX</t>
  </si>
  <si>
    <t>(Beijing/PKX)</t>
  </si>
  <si>
    <t>BLEE</t>
  </si>
  <si>
    <t>D311</t>
  </si>
  <si>
    <t>UO 618</t>
  </si>
  <si>
    <t>UO 522</t>
  </si>
  <si>
    <t>BLEI</t>
  </si>
  <si>
    <t>UO 724</t>
  </si>
  <si>
    <t>HKT</t>
  </si>
  <si>
    <t>(Phuket)</t>
  </si>
  <si>
    <t>UO 820</t>
  </si>
  <si>
    <t>OKA</t>
  </si>
  <si>
    <t>(Okinawa)</t>
  </si>
  <si>
    <t>BKKA</t>
  </si>
  <si>
    <t>D309L</t>
  </si>
  <si>
    <t>UO 192</t>
  </si>
  <si>
    <t>RMQ</t>
  </si>
  <si>
    <t>(Taichung)</t>
  </si>
  <si>
    <t>BKKI</t>
  </si>
  <si>
    <t>W121L</t>
  </si>
  <si>
    <t>UO 540</t>
  </si>
  <si>
    <t>HAN</t>
  </si>
  <si>
    <t>(Hanoi)</t>
  </si>
  <si>
    <t>UO 756</t>
  </si>
  <si>
    <t>CNX</t>
  </si>
  <si>
    <t>(Chiang Mai)</t>
  </si>
  <si>
    <t>UO 600</t>
  </si>
  <si>
    <t>FUK</t>
  </si>
  <si>
    <t>(Fukuoka)</t>
  </si>
  <si>
    <t>UO 704</t>
  </si>
  <si>
    <t>BKK</t>
  </si>
  <si>
    <t>(Bangkok)</t>
  </si>
  <si>
    <t>UO 598</t>
  </si>
  <si>
    <t>PQC</t>
  </si>
  <si>
    <t>(Phu Quoc Island)</t>
  </si>
  <si>
    <t>BHTH</t>
  </si>
  <si>
    <t>W122R</t>
  </si>
  <si>
    <t>UO 130</t>
  </si>
  <si>
    <t>KHH</t>
  </si>
  <si>
    <t>(Kaohsiung)</t>
  </si>
  <si>
    <t>UO 838</t>
  </si>
  <si>
    <t>TAE</t>
  </si>
  <si>
    <t>(Daegu)</t>
  </si>
  <si>
    <t>BLCJ</t>
  </si>
  <si>
    <t>UO 552</t>
  </si>
  <si>
    <t>DAD</t>
  </si>
  <si>
    <t>(Da Nang)</t>
  </si>
  <si>
    <t>BLCN</t>
  </si>
  <si>
    <t>W122L</t>
  </si>
  <si>
    <t>UO 686</t>
  </si>
  <si>
    <t>UO 674</t>
  </si>
  <si>
    <t>PUS</t>
  </si>
  <si>
    <t>(Busan)</t>
  </si>
  <si>
    <t>UO 642</t>
  </si>
  <si>
    <t>TAK</t>
  </si>
  <si>
    <t>(Takamatsu)</t>
  </si>
  <si>
    <t>BLCL</t>
  </si>
  <si>
    <t>UO 848</t>
  </si>
  <si>
    <t>BKKM</t>
  </si>
  <si>
    <t>UO 617</t>
  </si>
  <si>
    <t>UO 850</t>
  </si>
  <si>
    <t>BLED</t>
  </si>
  <si>
    <t>D302R</t>
  </si>
  <si>
    <t>UO 680</t>
  </si>
  <si>
    <t>D218</t>
  </si>
  <si>
    <t>UO 546</t>
  </si>
  <si>
    <t>BLCH</t>
  </si>
  <si>
    <t>UO 630</t>
  </si>
  <si>
    <t>BKKB</t>
  </si>
  <si>
    <t>UO 677</t>
  </si>
  <si>
    <t>UO 502</t>
  </si>
  <si>
    <t>UO 870</t>
  </si>
  <si>
    <t>UO 172</t>
  </si>
  <si>
    <t>BLCM</t>
  </si>
  <si>
    <t>W123R</t>
  </si>
  <si>
    <t>UO 245</t>
  </si>
  <si>
    <t>UO 625</t>
  </si>
  <si>
    <t>BKKQ</t>
  </si>
  <si>
    <t>D214</t>
  </si>
  <si>
    <t>UO 668</t>
  </si>
  <si>
    <t>BHTI</t>
  </si>
  <si>
    <t>D215</t>
  </si>
  <si>
    <t>UO 227</t>
  </si>
  <si>
    <t>NGB</t>
  </si>
  <si>
    <t>(Ningbo)</t>
  </si>
  <si>
    <t>BLEJ</t>
  </si>
  <si>
    <t>UO 110</t>
  </si>
  <si>
    <t>TPE</t>
  </si>
  <si>
    <t>(Taipei)</t>
  </si>
  <si>
    <t>BLEL</t>
  </si>
  <si>
    <t>UO 566</t>
  </si>
  <si>
    <t>BHSN</t>
  </si>
  <si>
    <t>D204</t>
  </si>
  <si>
    <t>UO 131</t>
  </si>
  <si>
    <t>UO 898</t>
  </si>
  <si>
    <t>UO 746</t>
  </si>
  <si>
    <t>D217</t>
  </si>
  <si>
    <t>UO 193</t>
  </si>
  <si>
    <t>UO 112</t>
  </si>
  <si>
    <t>UO 523</t>
  </si>
  <si>
    <t>UO 541</t>
  </si>
  <si>
    <t>UO 857</t>
  </si>
  <si>
    <t>D207</t>
  </si>
  <si>
    <t>UO 132</t>
  </si>
  <si>
    <t>UO 638</t>
  </si>
  <si>
    <t>UO 553</t>
  </si>
  <si>
    <t>UO 646</t>
  </si>
  <si>
    <t>UO 212</t>
  </si>
  <si>
    <t>YIW</t>
  </si>
  <si>
    <t>(Yiwu)</t>
  </si>
  <si>
    <t>UO 700</t>
  </si>
  <si>
    <t>UO 821</t>
  </si>
  <si>
    <t>UO 650</t>
  </si>
  <si>
    <t>UO 757</t>
  </si>
  <si>
    <t>D213</t>
  </si>
  <si>
    <t>UO 705</t>
  </si>
  <si>
    <t>UO 652</t>
  </si>
  <si>
    <t>UO 688</t>
  </si>
  <si>
    <t>UO 173</t>
  </si>
  <si>
    <t>UO 599</t>
  </si>
  <si>
    <t>UO 114</t>
  </si>
  <si>
    <t>UO 563</t>
  </si>
  <si>
    <t>UO 662</t>
  </si>
  <si>
    <t>BHSL</t>
  </si>
  <si>
    <t>UO 725</t>
  </si>
  <si>
    <t>UO 619</t>
  </si>
  <si>
    <t>D211</t>
  </si>
  <si>
    <t>UO 684</t>
  </si>
  <si>
    <t>UO 862</t>
  </si>
  <si>
    <t xml:space="preserve"> </t>
  </si>
  <si>
    <t>UO 601</t>
  </si>
  <si>
    <t>UO 826</t>
  </si>
  <si>
    <t>UO 111</t>
  </si>
  <si>
    <t>UO 568</t>
  </si>
  <si>
    <t>UO 716</t>
  </si>
  <si>
    <t>UO 133</t>
  </si>
  <si>
    <t>UO 626</t>
  </si>
  <si>
    <t>UO 839</t>
  </si>
  <si>
    <t>UO 507</t>
  </si>
  <si>
    <t>UO 744</t>
  </si>
  <si>
    <t>UO 558</t>
  </si>
  <si>
    <t>UO 113</t>
  </si>
  <si>
    <t>UO 702</t>
  </si>
  <si>
    <t>UO 675</t>
  </si>
  <si>
    <t>UO 577</t>
  </si>
  <si>
    <t>D301R</t>
  </si>
  <si>
    <t>Roy Lam</t>
  </si>
  <si>
    <t>UO 514</t>
  </si>
  <si>
    <t>UO 622</t>
  </si>
  <si>
    <t>UO 643</t>
  </si>
  <si>
    <t>UO 687</t>
  </si>
  <si>
    <t>UO 250</t>
  </si>
  <si>
    <t>SYX</t>
  </si>
  <si>
    <t>(Sanya)</t>
  </si>
  <si>
    <t>UO 182</t>
  </si>
  <si>
    <t>UO 213</t>
  </si>
  <si>
    <t>Tim Wu</t>
  </si>
  <si>
    <t>UO 116</t>
  </si>
  <si>
    <t>UO 631</t>
  </si>
  <si>
    <t>UO 851</t>
  </si>
  <si>
    <t>UO 669</t>
  </si>
  <si>
    <t>UO 681</t>
  </si>
  <si>
    <t>UO 115</t>
  </si>
  <si>
    <t>UO 226</t>
  </si>
  <si>
    <t>-</t>
  </si>
  <si>
    <t>UO 628</t>
  </si>
  <si>
    <t>UO 849</t>
  </si>
  <si>
    <t>Calvin Chan</t>
  </si>
  <si>
    <t xml:space="preserve">Andy </t>
  </si>
  <si>
    <t>UO 701</t>
  </si>
  <si>
    <t>UO 748</t>
  </si>
  <si>
    <t>UO 787</t>
  </si>
  <si>
    <t xml:space="preserve">Henry </t>
  </si>
  <si>
    <t>UO 899</t>
  </si>
  <si>
    <t>Gordon</t>
  </si>
  <si>
    <t>UO 614</t>
  </si>
  <si>
    <t>UO 639</t>
  </si>
  <si>
    <t>UO 559</t>
  </si>
  <si>
    <t>D305R</t>
  </si>
  <si>
    <t>UO 790</t>
  </si>
  <si>
    <t>Marcus</t>
  </si>
  <si>
    <t>RB</t>
  </si>
  <si>
    <t>UO 871</t>
  </si>
  <si>
    <t>UO 260</t>
  </si>
  <si>
    <t>UO 827</t>
  </si>
  <si>
    <t>D307R</t>
  </si>
  <si>
    <t>T2</t>
  </si>
  <si>
    <t>alan wu</t>
  </si>
  <si>
    <t>UO 183</t>
  </si>
  <si>
    <t>UO 251</t>
  </si>
  <si>
    <t>UO 663</t>
  </si>
  <si>
    <t>UO 506</t>
  </si>
  <si>
    <t>UO 515</t>
  </si>
  <si>
    <t>UO 569</t>
  </si>
  <si>
    <t>Kit Yau</t>
  </si>
  <si>
    <t>UO 117</t>
  </si>
  <si>
    <t>UO 755</t>
  </si>
  <si>
    <t>UO 647</t>
  </si>
  <si>
    <t>UO 713</t>
  </si>
  <si>
    <t>tony</t>
  </si>
  <si>
    <t>UO 624</t>
  </si>
  <si>
    <t>UO 656</t>
  </si>
  <si>
    <t xml:space="preserve">Vicky </t>
  </si>
  <si>
    <t>Summer</t>
  </si>
  <si>
    <t>To</t>
  </si>
  <si>
    <t>UO 9011</t>
  </si>
  <si>
    <t>MFM</t>
  </si>
  <si>
    <t>(Macau)</t>
  </si>
  <si>
    <t>F</t>
  </si>
  <si>
    <t>Dylan Chen</t>
  </si>
  <si>
    <t>Andy Celestial</t>
  </si>
  <si>
    <t>UO 890</t>
  </si>
  <si>
    <t>SDJ</t>
  </si>
  <si>
    <t>(Sendai)</t>
  </si>
  <si>
    <t>UO 822</t>
  </si>
  <si>
    <t>HIJ</t>
  </si>
  <si>
    <t>(Hiroshima)</t>
  </si>
  <si>
    <t>UO 657</t>
  </si>
  <si>
    <t>Elliot Chiu</t>
  </si>
  <si>
    <t>Wayne Hu</t>
  </si>
  <si>
    <t>Chris Chi</t>
  </si>
  <si>
    <t>UO 632</t>
  </si>
  <si>
    <t>Melvin Kwok</t>
  </si>
  <si>
    <t>Jack Huo</t>
  </si>
  <si>
    <t xml:space="preserve">Wilbur Wang </t>
  </si>
  <si>
    <t xml:space="preserve">William Kwan </t>
  </si>
  <si>
    <t>UO 728</t>
  </si>
  <si>
    <t>Rock Fan</t>
  </si>
  <si>
    <t>UO 272</t>
  </si>
  <si>
    <t>CZX</t>
  </si>
  <si>
    <t>(Changzhou)</t>
  </si>
  <si>
    <t>UO 823</t>
  </si>
  <si>
    <t>UO 124</t>
  </si>
  <si>
    <t>UO 891</t>
  </si>
  <si>
    <t>UO 635</t>
  </si>
  <si>
    <t>UO 542</t>
  </si>
  <si>
    <t>UO 532</t>
  </si>
  <si>
    <t>UO 729</t>
  </si>
  <si>
    <t>UO 135</t>
  </si>
  <si>
    <t>UO 273</t>
  </si>
  <si>
    <t>BKKPUO848</t>
  </si>
  <si>
    <t>Ivan Tse</t>
  </si>
  <si>
    <t>BKKOUO890</t>
  </si>
  <si>
    <t>Paul Yu</t>
  </si>
  <si>
    <t>BLCHUO213</t>
  </si>
  <si>
    <t>Ruel Banas</t>
  </si>
  <si>
    <t>BKKGUO891</t>
  </si>
  <si>
    <t>BKKDUO628</t>
  </si>
  <si>
    <t>BKKIUO849</t>
  </si>
  <si>
    <t>BHSMUO787</t>
  </si>
  <si>
    <t>Hong Yi</t>
  </si>
  <si>
    <t>BKKEUO899</t>
  </si>
  <si>
    <t>BKKGUO614</t>
  </si>
  <si>
    <t>BKKAUO871</t>
  </si>
  <si>
    <t>BKKNUO183</t>
  </si>
  <si>
    <t>BLCIUO663</t>
  </si>
  <si>
    <t>BLCMUO135</t>
  </si>
  <si>
    <t>BKKLUO117</t>
  </si>
  <si>
    <t>BKKOUO755</t>
  </si>
  <si>
    <t>BKKPUO647</t>
  </si>
  <si>
    <t>BKKIUO624</t>
  </si>
  <si>
    <t>BKKCUO651</t>
  </si>
  <si>
    <t>BKKMUO685</t>
  </si>
  <si>
    <t>BKKJUO627</t>
  </si>
  <si>
    <t>BLCLUO863</t>
  </si>
  <si>
    <t>BKKFUO693</t>
  </si>
  <si>
    <t>BLCNUO717</t>
  </si>
  <si>
    <t>BKKMUO854</t>
  </si>
  <si>
    <t>BKKLUO676</t>
  </si>
  <si>
    <t>BKKHUO623</t>
  </si>
  <si>
    <t>BKKBUO749</t>
  </si>
  <si>
    <t>BKKGUO615</t>
  </si>
  <si>
    <t>BKKDUO629</t>
  </si>
  <si>
    <t>BKKNUO618</t>
  </si>
  <si>
    <t>BKKGUO820</t>
  </si>
  <si>
    <t>BKKHUO192</t>
  </si>
  <si>
    <t>BLCHUO540</t>
  </si>
  <si>
    <t>BKKDUO600</t>
  </si>
  <si>
    <t>BKKJUO704</t>
  </si>
  <si>
    <t>BHSMUO552</t>
  </si>
  <si>
    <t>BKKFUO686</t>
  </si>
  <si>
    <t>BKKCUO674</t>
  </si>
  <si>
    <t>BLCSUO680</t>
  </si>
  <si>
    <t>Alan Wu</t>
  </si>
  <si>
    <t>BKKNUO627</t>
  </si>
  <si>
    <t>BKKLUO623</t>
  </si>
  <si>
    <t>BLCSUO749</t>
  </si>
  <si>
    <t>BKKOUO615</t>
  </si>
  <si>
    <t>Kenneth Yuen</t>
  </si>
  <si>
    <t>BKKEUO629</t>
  </si>
  <si>
    <t>Lester Yung</t>
  </si>
  <si>
    <t>BHSLUO832</t>
  </si>
  <si>
    <t>Marco Cy</t>
  </si>
  <si>
    <t>BKKPUO849</t>
  </si>
  <si>
    <t>BLCMUO546</t>
  </si>
  <si>
    <t>BLCSUO748</t>
  </si>
  <si>
    <t>BKKEUO630</t>
  </si>
  <si>
    <t>BLCIUO787</t>
  </si>
  <si>
    <t>BKKLUO677</t>
  </si>
  <si>
    <t>BHSLUO244</t>
  </si>
  <si>
    <t>BKKAUO870</t>
  </si>
  <si>
    <t>BKKBUO899</t>
  </si>
  <si>
    <t>BLCLUO172</t>
  </si>
  <si>
    <t>BKKOUO614</t>
  </si>
  <si>
    <t>BKKIUO625</t>
  </si>
  <si>
    <t>BHSMUO559</t>
  </si>
  <si>
    <t>BLCNUO698</t>
  </si>
  <si>
    <t>BHSMUO250</t>
  </si>
  <si>
    <t>BLCJUO566</t>
  </si>
  <si>
    <t>BKKBUO898</t>
  </si>
  <si>
    <t>BLCNUO699</t>
  </si>
  <si>
    <t>BLCIUO746</t>
  </si>
  <si>
    <t>BKKCUO183</t>
  </si>
  <si>
    <t>BKKHUO193</t>
  </si>
  <si>
    <t>BLCMUO251</t>
  </si>
  <si>
    <t>BKKLUO112</t>
  </si>
  <si>
    <t>BKKMUO857</t>
  </si>
  <si>
    <t>BLCHUO569</t>
  </si>
  <si>
    <t>BLCHUO541</t>
  </si>
  <si>
    <t>BKKBUO624</t>
  </si>
  <si>
    <t>BHSMUO553</t>
  </si>
  <si>
    <t>BKKFUO117</t>
  </si>
  <si>
    <t>BKKHUO646</t>
  </si>
  <si>
    <t>BKKFUO676</t>
  </si>
  <si>
    <t>BKKGUO821</t>
  </si>
  <si>
    <t>BLCNUO872</t>
  </si>
  <si>
    <t>BKKIUO650</t>
  </si>
  <si>
    <t>BKKAUO854</t>
  </si>
  <si>
    <t>BKKJUO705</t>
  </si>
  <si>
    <t>BKKMUO652</t>
  </si>
  <si>
    <t>BKKDUO755</t>
  </si>
  <si>
    <t>BKKGUO688</t>
  </si>
  <si>
    <t>BLCJUO273</t>
  </si>
  <si>
    <t>BLCLUO173</t>
  </si>
  <si>
    <t>BKKHUO647</t>
  </si>
  <si>
    <t>BKKNUO619</t>
  </si>
  <si>
    <t>BKKGUO689</t>
  </si>
  <si>
    <t>BKKQUO684</t>
  </si>
  <si>
    <t>BKKIUO651</t>
  </si>
  <si>
    <t>BKKDUO601</t>
  </si>
  <si>
    <t>BKKQUO685</t>
  </si>
  <si>
    <t>BLCHUO568</t>
  </si>
  <si>
    <t>BHSLUO245</t>
  </si>
  <si>
    <t>BLCLUO716</t>
  </si>
  <si>
    <t>BKKMUO693</t>
  </si>
  <si>
    <t>BKKNUO626</t>
  </si>
  <si>
    <t>BLCLUO717</t>
  </si>
  <si>
    <t>BLCJUO507</t>
  </si>
  <si>
    <t>BKKLUO192</t>
  </si>
  <si>
    <t>BKKDUO744</t>
  </si>
  <si>
    <t>BLCSUO642</t>
  </si>
  <si>
    <t>BHSMUO558</t>
  </si>
  <si>
    <t>BKKOUO674</t>
  </si>
  <si>
    <t>BKKCUO675</t>
  </si>
  <si>
    <t>BLCMUO822</t>
  </si>
  <si>
    <t>BKKLUO113</t>
  </si>
  <si>
    <t>BKKDUO848</t>
  </si>
  <si>
    <t>BLCMUO577</t>
  </si>
  <si>
    <t>BKKQUO686</t>
  </si>
  <si>
    <t>BLCJUO272</t>
  </si>
  <si>
    <t>BLCJUO552</t>
  </si>
  <si>
    <t>BKKLUO622</t>
  </si>
  <si>
    <t>BKKGUO704</t>
  </si>
  <si>
    <t>BKKFUO687</t>
  </si>
  <si>
    <t>BKKHUO600</t>
  </si>
  <si>
    <t>BHSLUO833</t>
  </si>
  <si>
    <t>BLCIUO540</t>
  </si>
  <si>
    <t>BLCMUO250</t>
  </si>
  <si>
    <t>BKKJUO820</t>
  </si>
  <si>
    <t>BKKCUO182</t>
  </si>
  <si>
    <t>BKKFUO116</t>
  </si>
  <si>
    <t>BKKGUO117</t>
  </si>
  <si>
    <t>KIMI + WAYNE</t>
  </si>
  <si>
    <t>BKKEUO631</t>
  </si>
  <si>
    <t>BLCSUO681</t>
  </si>
  <si>
    <t>BKKOUO891</t>
  </si>
  <si>
    <t>BLCJUO663</t>
  </si>
  <si>
    <t>BKKEUO628</t>
  </si>
  <si>
    <t>BLCSUO617</t>
  </si>
  <si>
    <t>Jack Huen</t>
  </si>
  <si>
    <t>Jacky Wong</t>
  </si>
  <si>
    <t>Cheuk Tang</t>
  </si>
  <si>
    <t>Hinson Tsang</t>
  </si>
  <si>
    <t>BLCMUO680</t>
  </si>
  <si>
    <t>BKKDUO625</t>
  </si>
  <si>
    <t>BHSNUO577</t>
  </si>
  <si>
    <t>Jett</t>
  </si>
  <si>
    <t>BHSMUO748</t>
  </si>
  <si>
    <t>BKKLUO899</t>
  </si>
  <si>
    <t>Jeffrey Wong</t>
  </si>
  <si>
    <t>BKKIUO614</t>
  </si>
  <si>
    <t>Johnny Li</t>
  </si>
  <si>
    <t>Nicky Yip</t>
  </si>
  <si>
    <t>BKKCUO630</t>
  </si>
  <si>
    <t>BLCJUO662</t>
  </si>
  <si>
    <t>BLCJUO553</t>
  </si>
  <si>
    <t xml:space="preserve">Michael Chen </t>
  </si>
  <si>
    <t>BKKFUO899</t>
  </si>
  <si>
    <t>BKKPUO614</t>
  </si>
  <si>
    <t>BKKIUO871</t>
  </si>
  <si>
    <t>BKKOUO183</t>
  </si>
  <si>
    <t>BHSLUO569</t>
  </si>
  <si>
    <t>BKKQUO117</t>
  </si>
  <si>
    <t>BKKHUO755</t>
  </si>
  <si>
    <t>BHSMUO273</t>
  </si>
  <si>
    <t>BKKLUO647</t>
  </si>
  <si>
    <t>BKKDUO624</t>
  </si>
  <si>
    <t>BKKAUO689</t>
  </si>
  <si>
    <t>BKKMUO651</t>
  </si>
  <si>
    <t>BKKGUO685</t>
  </si>
  <si>
    <t>BLCSUO616</t>
  </si>
  <si>
    <t>BKKJUO693</t>
  </si>
  <si>
    <t>BKKFUO854</t>
  </si>
  <si>
    <t>BKKBUO623</t>
  </si>
  <si>
    <t>BLCHUO749</t>
  </si>
  <si>
    <t>BKKPUO615</t>
  </si>
  <si>
    <t>BKKCUO629</t>
  </si>
  <si>
    <t>BKKQUO618</t>
  </si>
  <si>
    <t>BLCHUO724</t>
  </si>
  <si>
    <t>BKKBUO820</t>
  </si>
  <si>
    <t>BKKMUO192</t>
  </si>
  <si>
    <t>BLCJUO540</t>
  </si>
  <si>
    <t>BKKGUO600</t>
  </si>
  <si>
    <t>BKKEUO704</t>
  </si>
  <si>
    <t>BHSLUO566</t>
  </si>
  <si>
    <t>BKKIUO848</t>
  </si>
  <si>
    <t>Eric Cheung</t>
  </si>
  <si>
    <t>BKKJUO687</t>
  </si>
  <si>
    <t>d</t>
  </si>
  <si>
    <t>BKKOUO112</t>
  </si>
  <si>
    <t>Inbound Flt</t>
  </si>
  <si>
    <t>Inbound Date</t>
  </si>
  <si>
    <t>Outbound Flt</t>
  </si>
  <si>
    <t>Outbound Date</t>
  </si>
  <si>
    <t>Project ID</t>
  </si>
  <si>
    <t>Pick Slip Number</t>
  </si>
  <si>
    <t>DWA date</t>
  </si>
  <si>
    <t>MC_4</t>
  </si>
  <si>
    <t>MC_5</t>
  </si>
  <si>
    <t>BLCP</t>
  </si>
  <si>
    <t>UO695</t>
  </si>
  <si>
    <t>DEFECT</t>
  </si>
  <si>
    <t/>
  </si>
  <si>
    <t>PEST</t>
  </si>
  <si>
    <t>SCH</t>
  </si>
  <si>
    <t>72H</t>
  </si>
  <si>
    <t>A-CHECK</t>
  </si>
  <si>
    <t>10D</t>
  </si>
  <si>
    <t>BLCR</t>
  </si>
  <si>
    <t>UO577</t>
  </si>
  <si>
    <t>UO827</t>
  </si>
  <si>
    <t>UO717</t>
  </si>
  <si>
    <t>UO662</t>
  </si>
  <si>
    <t>UO552</t>
  </si>
  <si>
    <t>UO522</t>
  </si>
  <si>
    <t>UO651</t>
  </si>
  <si>
    <t>UO192</t>
  </si>
  <si>
    <t>UO689</t>
  </si>
  <si>
    <t>UO686</t>
  </si>
  <si>
    <t>UO627</t>
  </si>
  <si>
    <t>UO890</t>
  </si>
  <si>
    <t>UO820</t>
  </si>
  <si>
    <t>UO630</t>
  </si>
  <si>
    <t>UO183</t>
  </si>
  <si>
    <t>UO839</t>
  </si>
  <si>
    <t>UO172</t>
  </si>
  <si>
    <t>UO212</t>
  </si>
  <si>
    <t>UO724</t>
  </si>
  <si>
    <t>UO713</t>
  </si>
  <si>
    <t>UO642</t>
  </si>
  <si>
    <t>UO566</t>
  </si>
  <si>
    <t>UO871</t>
  </si>
  <si>
    <t>UO693</t>
  </si>
  <si>
    <t>UO680</t>
  </si>
  <si>
    <t>UO749</t>
  </si>
  <si>
    <t>UO117</t>
  </si>
  <si>
    <t>UO647</t>
  </si>
  <si>
    <t>UO848</t>
  </si>
  <si>
    <t>UO600</t>
  </si>
  <si>
    <t>UO787</t>
  </si>
  <si>
    <t>UO546</t>
  </si>
  <si>
    <t>UO213</t>
  </si>
  <si>
    <t>UO838</t>
  </si>
  <si>
    <t>UO823</t>
  </si>
  <si>
    <t>UO135</t>
  </si>
  <si>
    <t>UO663</t>
  </si>
  <si>
    <t>UO251</t>
  </si>
  <si>
    <t>UO9011</t>
  </si>
  <si>
    <t>UO540</t>
  </si>
  <si>
    <t>UO674</t>
  </si>
  <si>
    <t>UO639</t>
  </si>
  <si>
    <t>UO624</t>
  </si>
  <si>
    <t>UO643</t>
  </si>
  <si>
    <t>UO822</t>
  </si>
  <si>
    <t>UO863</t>
  </si>
  <si>
    <t>UO632</t>
  </si>
  <si>
    <t>UO227</t>
  </si>
  <si>
    <t>UO598</t>
  </si>
  <si>
    <t>UO112</t>
  </si>
  <si>
    <t>UO193</t>
  </si>
  <si>
    <t>UO676</t>
  </si>
  <si>
    <t>UO9691</t>
  </si>
  <si>
    <t>UO130</t>
  </si>
  <si>
    <t>BKKEUO9691</t>
  </si>
  <si>
    <t>Dep 0200</t>
  </si>
  <si>
    <t>BKKNUO755</t>
  </si>
  <si>
    <t>DEP 2105</t>
  </si>
  <si>
    <t>BKKJUO849</t>
  </si>
  <si>
    <t>DEP 2355</t>
  </si>
  <si>
    <t>BKKOUO899</t>
  </si>
  <si>
    <t>DEP 0245</t>
  </si>
  <si>
    <t>BKKAUO899</t>
  </si>
  <si>
    <t>DEP 0055</t>
  </si>
  <si>
    <t>BKKOUO849</t>
  </si>
  <si>
    <t>BLCRUO642</t>
  </si>
  <si>
    <t>BKKEUO676</t>
  </si>
  <si>
    <t>UO568</t>
  </si>
  <si>
    <t>Casl</t>
  </si>
  <si>
    <t>BLCIUO568</t>
  </si>
  <si>
    <t>BHSLUO212</t>
  </si>
  <si>
    <t>BLCHUO662</t>
  </si>
  <si>
    <t>UO705</t>
  </si>
  <si>
    <t>Pick up document from cabin crew</t>
  </si>
  <si>
    <t>BKKGUO705</t>
  </si>
  <si>
    <t>UO675</t>
  </si>
  <si>
    <t>BLCLUO675</t>
  </si>
  <si>
    <t>BKKQUO724</t>
  </si>
  <si>
    <t>BLCSUO823</t>
  </si>
  <si>
    <t>UO261</t>
  </si>
  <si>
    <t>BKKLUO261</t>
  </si>
  <si>
    <t>BLCIUO522</t>
  </si>
  <si>
    <t>HKE P/N QUICK REFERENCE</t>
  </si>
  <si>
    <t>Description</t>
  </si>
  <si>
    <t>P/N:</t>
  </si>
  <si>
    <t>Remarks</t>
  </si>
  <si>
    <t>CONSUMABLE</t>
  </si>
  <si>
    <t>EASTMAN2197</t>
  </si>
  <si>
    <t> </t>
  </si>
  <si>
    <t>EASTMAN2389</t>
  </si>
  <si>
    <t>HYJET V</t>
  </si>
  <si>
    <t>HYJETV</t>
  </si>
  <si>
    <t>紅油</t>
  </si>
  <si>
    <t>AEROSHELL41</t>
  </si>
  <si>
    <t>GREASE 22</t>
  </si>
  <si>
    <t>AEROSHELL22</t>
  </si>
  <si>
    <t>GREASE 33</t>
  </si>
  <si>
    <t>AEROSHELL33</t>
  </si>
  <si>
    <t>BONDING藍油</t>
  </si>
  <si>
    <t>F1N1SHF69BLUE</t>
  </si>
  <si>
    <t>RAT CIC</t>
  </si>
  <si>
    <t>LPS-3</t>
  </si>
  <si>
    <t>Alcohol</t>
  </si>
  <si>
    <t>B00130 / TT-I-735/08BBD1</t>
  </si>
  <si>
    <t>异丙醇（异丙基乙醇）</t>
  </si>
  <si>
    <t>PW/V25 ENG PRESERVATION OIL</t>
  </si>
  <si>
    <t>ROYCO481</t>
  </si>
  <si>
    <t>ANTI SEIZE (CAN)</t>
  </si>
  <si>
    <t>NSN165</t>
  </si>
  <si>
    <t>EDGE SEALER</t>
  </si>
  <si>
    <t>3M4150S</t>
  </si>
  <si>
    <t>Windshield Weather Seal</t>
  </si>
  <si>
    <t>06AFB1</t>
  </si>
  <si>
    <t>HONEYBEE</t>
  </si>
  <si>
    <t>HONEYBEE-60</t>
  </si>
  <si>
    <t>RD87946</t>
  </si>
  <si>
    <t>LEAK TESTER</t>
  </si>
  <si>
    <t>MIL-PRF-25567</t>
  </si>
  <si>
    <t>MIL-PRF-25567E</t>
  </si>
  <si>
    <t>DEVELOPER</t>
  </si>
  <si>
    <t>ARDROX9D1B</t>
  </si>
  <si>
    <t>CONTACT CLEANER</t>
  </si>
  <si>
    <t>MS-730M</t>
  </si>
  <si>
    <t>PRINTER PAPER</t>
  </si>
  <si>
    <t xml:space="preserve"> 8050917-0006ST</t>
  </si>
  <si>
    <t> 8050917-0010ANI</t>
  </si>
  <si>
    <t>Rain Repellant + Seal</t>
  </si>
  <si>
    <t>406Q75-1</t>
  </si>
  <si>
    <t>tape</t>
  </si>
  <si>
    <t>NEW FUEL TEST KIT</t>
  </si>
  <si>
    <t>HYPEB0TTLE1L</t>
  </si>
  <si>
    <t>LAV TISSUE ROLLER</t>
  </si>
  <si>
    <t>A825400441-000</t>
  </si>
  <si>
    <t>防潮珠</t>
  </si>
  <si>
    <t>MIL-D-3464</t>
  </si>
  <si>
    <t>MILD3464BAG</t>
  </si>
  <si>
    <t>Humidity Indicators</t>
  </si>
  <si>
    <t>MS20003-2</t>
  </si>
  <si>
    <t>HYD SAMPLING</t>
  </si>
  <si>
    <t>BOTTLE-HYD</t>
  </si>
  <si>
    <t>雪條棍</t>
  </si>
  <si>
    <t>W00DENSPATULA</t>
  </si>
  <si>
    <t>Call Haeco</t>
  </si>
  <si>
    <t>Plastic Gloves</t>
  </si>
  <si>
    <t>plasticgloves</t>
  </si>
  <si>
    <t>50ea for 1box</t>
  </si>
  <si>
    <t>3M GLOVES</t>
  </si>
  <si>
    <t>M83248-1-905</t>
  </si>
  <si>
    <t>Ear Plug</t>
  </si>
  <si>
    <t>3M1100</t>
  </si>
  <si>
    <t>1 for 1 pcs</t>
  </si>
  <si>
    <t>cable tie</t>
  </si>
  <si>
    <t>NSA935401-10</t>
  </si>
  <si>
    <t>百潔布</t>
  </si>
  <si>
    <t>SC0TCHBRITE</t>
  </si>
  <si>
    <t>TAPE</t>
  </si>
  <si>
    <t>2" MASING TAPE</t>
  </si>
  <si>
    <t>MASKINGTAPE2</t>
  </si>
  <si>
    <t>3M232-48MM</t>
  </si>
  <si>
    <t>1" MASING TAPE</t>
  </si>
  <si>
    <t>MASKINGTAPE1</t>
  </si>
  <si>
    <t>3M232-1</t>
  </si>
  <si>
    <t>HI-SPEED TAPE</t>
  </si>
  <si>
    <t>3M425-2</t>
  </si>
  <si>
    <t>YELLOW TAPE</t>
  </si>
  <si>
    <t>3M471-2</t>
  </si>
  <si>
    <t>CABIN TAPE</t>
  </si>
  <si>
    <t>3M8671-2IN</t>
  </si>
  <si>
    <t>D9100SW</t>
  </si>
  <si>
    <t>DOUBLE FACE TAPE</t>
  </si>
  <si>
    <t>05PCB2</t>
  </si>
  <si>
    <t>THERMOWELDABLE</t>
  </si>
  <si>
    <t>MARVELSEAL360</t>
  </si>
  <si>
    <t>CAUTIONSTICKER</t>
  </si>
  <si>
    <t>CAUTI0NSTICKER</t>
  </si>
  <si>
    <t>VHF tape</t>
  </si>
  <si>
    <t>05RQB9</t>
  </si>
  <si>
    <t>Sealing tape</t>
  </si>
  <si>
    <t>3MSCOTCH48</t>
  </si>
  <si>
    <t>DEACT placard</t>
  </si>
  <si>
    <t>D1131114920000</t>
  </si>
  <si>
    <t>LOCK WIRE</t>
  </si>
  <si>
    <t>NICKEL ALLOY 020</t>
  </si>
  <si>
    <t>MS9226-02</t>
  </si>
  <si>
    <t>NICKEL ALLOY 025</t>
  </si>
  <si>
    <t>MS9226-03</t>
  </si>
  <si>
    <t>028 LOCK WIRE</t>
  </si>
  <si>
    <t>MS20995C28</t>
  </si>
  <si>
    <t>STAINLESS STEEL 020</t>
  </si>
  <si>
    <t>MS20995C20</t>
  </si>
  <si>
    <t>STAINLESS STEEL 032</t>
  </si>
  <si>
    <t>AS3214-02</t>
  </si>
  <si>
    <t>COPPER WIRE</t>
  </si>
  <si>
    <t>MS20995CY15</t>
  </si>
  <si>
    <t>BIT</t>
  </si>
  <si>
    <t>SIZE 4 AIRBUS</t>
  </si>
  <si>
    <t>170-4</t>
  </si>
  <si>
    <t>SIZE 6 AIRBUS</t>
  </si>
  <si>
    <t>170-6</t>
  </si>
  <si>
    <t>SIZE 8 AIRBUS</t>
  </si>
  <si>
    <t>170-8 / XT1187</t>
  </si>
  <si>
    <t>SIZE 10 AIRBUS</t>
  </si>
  <si>
    <t>TS170-10</t>
  </si>
  <si>
    <t>SLAT PLANEL BIT</t>
  </si>
  <si>
    <t>TS170-1-4B</t>
  </si>
  <si>
    <t>491X (HKE)</t>
  </si>
  <si>
    <t>492X (HKE)</t>
  </si>
  <si>
    <t>493X (HKE)</t>
  </si>
  <si>
    <t>C/B COLLAR</t>
  </si>
  <si>
    <t>RED SMALL</t>
  </si>
  <si>
    <t>ABS0772B01A</t>
  </si>
  <si>
    <t>AMOS NO RECORD</t>
  </si>
  <si>
    <t>RED LARGE</t>
  </si>
  <si>
    <t>ABS0772B02A</t>
  </si>
  <si>
    <t>WHITE SMALL</t>
  </si>
  <si>
    <t>ABS0772A01A</t>
  </si>
  <si>
    <t>WHITE LARGE</t>
  </si>
  <si>
    <t>ABS0772A02A</t>
  </si>
  <si>
    <t>RED WITH LABEL</t>
  </si>
  <si>
    <t>S4933959-521</t>
  </si>
  <si>
    <t>Batt</t>
  </si>
  <si>
    <t>2A BATTERY</t>
  </si>
  <si>
    <t>BATTERY-AASIZE</t>
  </si>
  <si>
    <t>3A BATTERY</t>
  </si>
  <si>
    <t>BATTERY-AAASIZE</t>
  </si>
  <si>
    <t>D SIZE BATTERY</t>
  </si>
  <si>
    <t>BATTERY-DSIZE</t>
  </si>
  <si>
    <t xml:space="preserve">TORCH BATTERY </t>
  </si>
  <si>
    <t>CABIN</t>
  </si>
  <si>
    <t>MEDICAL KIT</t>
  </si>
  <si>
    <t>MK-HKG-02</t>
  </si>
  <si>
    <t>FIRST AID KIT</t>
  </si>
  <si>
    <t>FAKHKG02SW</t>
  </si>
  <si>
    <t>UPK</t>
  </si>
  <si>
    <t>UPK-HKG-01</t>
  </si>
  <si>
    <t>DEMO KIT O2 MASK</t>
  </si>
  <si>
    <t>289-1002</t>
  </si>
  <si>
    <t>BELT ASSY-SAFETY,CHILDREN A321</t>
  </si>
  <si>
    <t>E19-2502-88REVB</t>
  </si>
  <si>
    <t>BELT ASSY-SAFETY,CHILDREN A320</t>
  </si>
  <si>
    <t>1027-2-011-8008</t>
  </si>
  <si>
    <t>BELT ASSY-SAFETY,EXTENSION</t>
  </si>
  <si>
    <t xml:space="preserve">	E19-2500-88</t>
  </si>
  <si>
    <t>CURTAIN STRAP</t>
  </si>
  <si>
    <t>D2527424404400ST</t>
  </si>
  <si>
    <t>CURTAIN SCREW</t>
  </si>
  <si>
    <t>NAS1102E08-8</t>
  </si>
  <si>
    <t>CURTAIN SLIDER</t>
  </si>
  <si>
    <t>6143ST</t>
  </si>
  <si>
    <t>CURTAIN STOPPER</t>
  </si>
  <si>
    <t>EPSU BATT</t>
  </si>
  <si>
    <t>3214-31</t>
  </si>
  <si>
    <t>T-Divider screw</t>
  </si>
  <si>
    <t>NAS514P632-4</t>
  </si>
  <si>
    <t>Uncertain Chk CMM to firm firm</t>
  </si>
  <si>
    <t>Pisa</t>
  </si>
  <si>
    <t>Z317H2000110</t>
  </si>
  <si>
    <t>Loud Speaker</t>
  </si>
  <si>
    <t>A320NEO CABIN TRAY TABLE LATCH</t>
  </si>
  <si>
    <t>F0448870</t>
  </si>
  <si>
    <t>A320NEO CABIN TRAY TABLE LATCH FAIRING</t>
  </si>
  <si>
    <t>F0429408</t>
  </si>
  <si>
    <t>A320NEO Armcap</t>
  </si>
  <si>
    <t>F0430160TX (LH)</t>
  </si>
  <si>
    <t>A320 NEO PX Seat Clip Shaft (LH/RH)</t>
  </si>
  <si>
    <t>F0449833</t>
  </si>
  <si>
    <t>F0450287</t>
  </si>
  <si>
    <t>A320 NEO ARMREST SIDE COVER RH</t>
  </si>
  <si>
    <t>F0477488</t>
  </si>
  <si>
    <t>retainer (galley)</t>
  </si>
  <si>
    <t>216540-4</t>
  </si>
  <si>
    <t>half cart retainer</t>
  </si>
  <si>
    <t xml:space="preserve">OVEN SCREW </t>
  </si>
  <si>
    <t>NAS517-4-19</t>
  </si>
  <si>
    <t>A321NEO SEAT CMM</t>
  </si>
  <si>
    <t>A321NEO LITERATURE POCKET</t>
  </si>
  <si>
    <t>130-00-710-07</t>
  </si>
  <si>
    <t>A320CEO Sidewall &amp; ceiling light</t>
  </si>
  <si>
    <t>ABS1238-26-30B</t>
  </si>
  <si>
    <t>A321NEO CLEDU-CABIN LED UNIT (CEILING LIGHT)</t>
  </si>
  <si>
    <t xml:space="preserve">IPC: 33-21-89-11F </t>
  </si>
  <si>
    <t>A320CEO backrest cover (LCH,LCI,LCJ)</t>
  </si>
  <si>
    <t>1013738-007EW02</t>
  </si>
  <si>
    <t>A320NEO BACKREST ACTUATOR DEACT</t>
  </si>
  <si>
    <t>62-1-0017</t>
  </si>
  <si>
    <t>Lav</t>
  </si>
  <si>
    <t>豬籠</t>
  </si>
  <si>
    <t>7600763CX</t>
  </si>
  <si>
    <t>Toilet Seat Cover Assy + Placard (LAV A)</t>
  </si>
  <si>
    <t>A225400600-600</t>
  </si>
  <si>
    <t>F2529255053900</t>
  </si>
  <si>
    <t>Toilet Seat Cover Assy (LAV D)</t>
  </si>
  <si>
    <t>A225400460-504</t>
  </si>
  <si>
    <t>321NEO FWD LAV FAUCET</t>
  </si>
  <si>
    <t xml:space="preserve">321NEO AFT LAV  FAUCET </t>
  </si>
  <si>
    <t>320NEO LAV  FAUCET</t>
  </si>
  <si>
    <t>CABIN LABEL</t>
  </si>
  <si>
    <t>INOP貼紙</t>
  </si>
  <si>
    <t>HKELAB001</t>
  </si>
  <si>
    <t>SECURITY SEAL(RED)</t>
  </si>
  <si>
    <t>HKE-LAB003</t>
  </si>
  <si>
    <t>NO EXIT LABEL  非供出口用</t>
  </si>
  <si>
    <t>HKE-LAB011</t>
  </si>
  <si>
    <t>CABIN CREW USE ONLY LABEL</t>
  </si>
  <si>
    <t>HKE-LAB0012</t>
  </si>
  <si>
    <t>NO BAGGAGE LABEL</t>
  </si>
  <si>
    <t>HKE-LAB0013</t>
  </si>
  <si>
    <t>ADD STICKER</t>
  </si>
  <si>
    <t>HKE-LAB012B</t>
  </si>
  <si>
    <t>PLS FIND TECH RECORD</t>
  </si>
  <si>
    <t>COCKPIT</t>
  </si>
  <si>
    <t>COCKPIT TABLE ASSY</t>
  </si>
  <si>
    <t>D2511411800000</t>
  </si>
  <si>
    <t>BOOMSET</t>
  </si>
  <si>
    <t>AIRMAN8-0211</t>
  </si>
  <si>
    <t>SUNVISOR</t>
  </si>
  <si>
    <t>160-11103-990</t>
  </si>
  <si>
    <t>BOX INSTL-SPARE LAMPS-FUSE</t>
  </si>
  <si>
    <t>IPC:33-12-81-02</t>
  </si>
  <si>
    <t>A/C Exterior</t>
  </si>
  <si>
    <t>Body Faring Washer (Large Washer)</t>
  </si>
  <si>
    <t>D5331050920000</t>
  </si>
  <si>
    <t>STUD</t>
  </si>
  <si>
    <t>ABS0691-015</t>
  </si>
  <si>
    <t>Belly fairing stud (eg. 192kb)</t>
  </si>
  <si>
    <t>RECEPTACLE</t>
  </si>
  <si>
    <t>ABS0368-01</t>
  </si>
  <si>
    <t>STATIC-DISCHARGER(SHORT)</t>
  </si>
  <si>
    <t>E0400-01</t>
  </si>
  <si>
    <t>2-14SC1</t>
  </si>
  <si>
    <t>STATIC-DISCHARGER(LONG)</t>
  </si>
  <si>
    <t>E0399-01</t>
  </si>
  <si>
    <t>2-16SC1</t>
  </si>
  <si>
    <t>Landing LT</t>
  </si>
  <si>
    <t>727-1213-02</t>
  </si>
  <si>
    <t>Placard "INFLATE TYRES WITH NITROGEN ONLY"</t>
  </si>
  <si>
    <t>SHJH211500003</t>
  </si>
  <si>
    <t>WHEEL AND BRAKE</t>
  </si>
  <si>
    <t>Tire PX cap</t>
  </si>
  <si>
    <t>TRVC9</t>
  </si>
  <si>
    <t>cotter pin for main wheel change</t>
  </si>
  <si>
    <t>MS24665-134</t>
  </si>
  <si>
    <t>TAB WASHER</t>
  </si>
  <si>
    <t>Castle Nut</t>
  </si>
  <si>
    <t>MS17825-4</t>
  </si>
  <si>
    <t>BLEED CAP</t>
  </si>
  <si>
    <t>A320N:</t>
  </si>
  <si>
    <t>NLG WHEEL ASSY</t>
  </si>
  <si>
    <t>3-1531-3</t>
  </si>
  <si>
    <t>MLG WHEEL ASSY</t>
  </si>
  <si>
    <t>3-1692-1</t>
  </si>
  <si>
    <t>A320 NEO BRAKE</t>
  </si>
  <si>
    <t>2-1759-1</t>
  </si>
  <si>
    <t>2-1759-2</t>
  </si>
  <si>
    <t>A321N:</t>
  </si>
  <si>
    <t>C20500100</t>
  </si>
  <si>
    <t>BRAKE</t>
  </si>
  <si>
    <t>C20534100</t>
  </si>
  <si>
    <t>A321CEO:</t>
  </si>
  <si>
    <t>A320CEO:</t>
  </si>
  <si>
    <t>C20195162 (LCJ)</t>
  </si>
  <si>
    <t>O2 Part</t>
  </si>
  <si>
    <t>OXY CYLINDER RING (NEO)</t>
  </si>
  <si>
    <t>NSA835070-5C</t>
  </si>
  <si>
    <t>COCKPIT CYLINDER  (NEO)</t>
  </si>
  <si>
    <t>COCKPIT CYLINDER  (CEO)</t>
  </si>
  <si>
    <t>891511-14(HTH)</t>
  </si>
  <si>
    <t>PORTABLE CYLINDER</t>
  </si>
  <si>
    <t>3552AAADAACXCD</t>
  </si>
  <si>
    <t>HKE Paint Shop Consumable P/N</t>
  </si>
  <si>
    <t>Material</t>
  </si>
  <si>
    <t>ACTIVATOR</t>
  </si>
  <si>
    <t> 5L</t>
  </si>
  <si>
    <t>HARDENER</t>
  </si>
  <si>
    <t> THINNER</t>
  </si>
  <si>
    <t>THINNER600</t>
  </si>
  <si>
    <t> 1L</t>
  </si>
  <si>
    <t>PURPLE PAINT</t>
  </si>
  <si>
    <t>77702-702494</t>
  </si>
  <si>
    <t>5L</t>
  </si>
  <si>
    <t>WHITE PAINT</t>
  </si>
  <si>
    <t>77702-702443</t>
  </si>
  <si>
    <t>GRAY PAINT</t>
  </si>
  <si>
    <t>77702-054569</t>
  </si>
  <si>
    <t>PRIMER</t>
  </si>
  <si>
    <t>PRIMER-37045-5LT</t>
  </si>
  <si>
    <t>New paint system</t>
  </si>
  <si>
    <t>CLEARCOAT</t>
  </si>
  <si>
    <t>411-14-000U</t>
  </si>
  <si>
    <t>4LTR/CAN</t>
  </si>
  <si>
    <t>BASECOAT PURPLE PMS 2617C</t>
  </si>
  <si>
    <t>411-22-481D</t>
  </si>
  <si>
    <t xml:space="preserve">3LTR/CAN </t>
  </si>
  <si>
    <t>BASECOAT WHITE BAC 70846</t>
  </si>
  <si>
    <t>411-22-909G</t>
  </si>
  <si>
    <t>BASECOAT GREY M9001(BAC707)</t>
  </si>
  <si>
    <t>411-22-71H2</t>
  </si>
  <si>
    <t>PRIMER_YELLOW-GREEN</t>
  </si>
  <si>
    <t>913-21-0113</t>
  </si>
  <si>
    <t>FLEXPRIMER_IVORY</t>
  </si>
  <si>
    <t>493-23-116G</t>
  </si>
  <si>
    <t>CF-PRIMER_IVORY</t>
  </si>
  <si>
    <t>492-11-116G</t>
  </si>
  <si>
    <t>5LTR/CAN</t>
  </si>
  <si>
    <t>THINNER</t>
  </si>
  <si>
    <t>901-72-0000</t>
  </si>
  <si>
    <t>3LTR/CAN</t>
  </si>
  <si>
    <t>FILLER</t>
  </si>
  <si>
    <t>AF444</t>
  </si>
  <si>
    <t>1 CAN</t>
  </si>
  <si>
    <t>AVI0X90150</t>
  </si>
  <si>
    <t>A321NEO</t>
  </si>
  <si>
    <t>A321NEO CABIN LIFE VEST POUCH  HORIZONTAL</t>
  </si>
  <si>
    <t>130-00-225-96</t>
  </si>
  <si>
    <t>CML03JBA1</t>
  </si>
  <si>
    <t>MOLYKOTE33M5.3OZ</t>
  </si>
  <si>
    <t>CML03QEA1</t>
  </si>
  <si>
    <t>MOLYKOTE G RAPID</t>
  </si>
  <si>
    <t>CML03BDB9</t>
  </si>
  <si>
    <t>ROYCO363-5GAL</t>
  </si>
  <si>
    <t>03JCA9</t>
  </si>
  <si>
    <t>MOLYKOTE55</t>
  </si>
  <si>
    <t>06LDG6</t>
  </si>
  <si>
    <t>MOLYKOTE111</t>
  </si>
  <si>
    <t>CML03QDB1</t>
  </si>
  <si>
    <t>KLINGERFLON</t>
  </si>
  <si>
    <t>12ADB1</t>
  </si>
  <si>
    <t>AV30</t>
  </si>
  <si>
    <t>00216</t>
  </si>
  <si>
    <t>LPS2</t>
  </si>
  <si>
    <t>12ACC1</t>
  </si>
  <si>
    <t>S0C0PAC50S</t>
  </si>
  <si>
    <t>BRAYCOTE236</t>
  </si>
  <si>
    <t>VASILINE</t>
  </si>
  <si>
    <t>BRAYCOTE868</t>
  </si>
  <si>
    <t>ADHSIVE</t>
  </si>
  <si>
    <t>RTV108</t>
  </si>
  <si>
    <t>24" STREAMER</t>
  </si>
  <si>
    <t>NAS1756-24</t>
  </si>
  <si>
    <t>12" STREAMER</t>
  </si>
  <si>
    <t>NAS1756-12</t>
  </si>
  <si>
    <t>fuel teat</t>
  </si>
  <si>
    <t>test</t>
  </si>
  <si>
    <t>fuel</t>
  </si>
  <si>
    <t>50ea for 1 big bag</t>
  </si>
  <si>
    <t>Cotton Rag</t>
  </si>
  <si>
    <t>50lbs for 1 big bag</t>
  </si>
  <si>
    <t>Rope for tie down</t>
  </si>
  <si>
    <t>int</t>
  </si>
  <si>
    <t>1 pack</t>
  </si>
  <si>
    <t>Plastic Wrap</t>
  </si>
  <si>
    <t>plasticwrap</t>
  </si>
  <si>
    <t>1 roll</t>
  </si>
  <si>
    <t>L/G DOWNLOCK DEVICE BALL LOCK PIN</t>
  </si>
  <si>
    <t>DRT68923-10</t>
  </si>
  <si>
    <t>SEALING PROFILE - PTFE TAPE</t>
  </si>
  <si>
    <t>14JAF1 (NIL STOCK)</t>
  </si>
  <si>
    <t>DEODORANT DISC-DREAMLINE</t>
  </si>
  <si>
    <t>4982EIND</t>
  </si>
  <si>
    <t>LAV AIR FRESH</t>
  </si>
  <si>
    <t>CHINESE PEN</t>
  </si>
  <si>
    <t>WRITINGBRUSHM</t>
  </si>
  <si>
    <t>PAINT BRUSH 1'</t>
  </si>
  <si>
    <t>PAINTBRUSH1</t>
  </si>
  <si>
    <t>KPC4-480-325</t>
  </si>
  <si>
    <t>PITOT COVER-KEVLAR</t>
  </si>
  <si>
    <t>TIE DOWN FOR TYPHOON</t>
  </si>
  <si>
    <t>672-970</t>
  </si>
  <si>
    <t>DEODORANT DISC - DREAMLINE / TOILET FRESHER</t>
  </si>
  <si>
    <t>FUEL TEST KIT</t>
  </si>
  <si>
    <t>DEODORANT-AIRCRAFT TOILETS</t>
  </si>
  <si>
    <t>11GCA1</t>
  </si>
  <si>
    <t>Safety Cable Kit</t>
  </si>
  <si>
    <t>AS3510-0218K</t>
  </si>
  <si>
    <t>T1</t>
  </si>
  <si>
    <t>T4</t>
  </si>
  <si>
    <t>Michael Mai</t>
  </si>
  <si>
    <t>Dewey To</t>
  </si>
  <si>
    <t>Anthony Solomo</t>
  </si>
  <si>
    <t>Kimi Zhou</t>
  </si>
  <si>
    <t>Henry You</t>
  </si>
  <si>
    <t>Terrell Wong</t>
  </si>
  <si>
    <t>Kelvin Liu</t>
  </si>
  <si>
    <t>Felix</t>
  </si>
  <si>
    <t>Ryan Xu</t>
  </si>
  <si>
    <t>HUANG Xiaoyu</t>
  </si>
  <si>
    <t>Vincent Jiang</t>
  </si>
  <si>
    <t>Team 1</t>
  </si>
  <si>
    <t>Kevin Du</t>
  </si>
  <si>
    <t>Tony Hu</t>
  </si>
  <si>
    <t>Copper</t>
  </si>
  <si>
    <t>Sean Zhuang</t>
  </si>
  <si>
    <t>Jordan</t>
  </si>
  <si>
    <t>jack</t>
  </si>
  <si>
    <t>anthony</t>
  </si>
  <si>
    <t>Michail Law</t>
  </si>
  <si>
    <t>hon</t>
  </si>
  <si>
    <t>victor Chan</t>
  </si>
  <si>
    <t>⚄</t>
  </si>
  <si>
    <t>⚀</t>
  </si>
  <si>
    <t>⚁</t>
  </si>
  <si>
    <t>⚃</t>
  </si>
  <si>
    <t>202-210</t>
  </si>
  <si>
    <t>⚅</t>
  </si>
  <si>
    <t>⚂</t>
  </si>
  <si>
    <t>212-218</t>
  </si>
  <si>
    <t>J</t>
  </si>
  <si>
    <t>201-209</t>
  </si>
  <si>
    <t>b</t>
  </si>
  <si>
    <t>211-219</t>
  </si>
  <si>
    <t>PX  807B (14 JAN 2027) 936A(08DEC2026) 955(23Nov2026) 825A(14 JAN 2027) 825B(14 JAN2027) 420(8 DEC 2026)</t>
  </si>
  <si>
    <t>320N</t>
  </si>
  <si>
    <t>321N</t>
  </si>
  <si>
    <t>DR</t>
  </si>
  <si>
    <t>ADJ</t>
  </si>
  <si>
    <t>mm</t>
  </si>
  <si>
    <t>F CHK</t>
  </si>
  <si>
    <t>Clearance A</t>
  </si>
  <si>
    <t>4-5.5</t>
  </si>
  <si>
    <t>Clearance L</t>
  </si>
  <si>
    <t>Clearance B</t>
  </si>
  <si>
    <t>&gt;3.7</t>
  </si>
  <si>
    <t>Clearance C</t>
  </si>
  <si>
    <t>9-10</t>
  </si>
  <si>
    <t>Clearance F</t>
  </si>
  <si>
    <t>0.5-2.5</t>
  </si>
  <si>
    <t>FULL P</t>
  </si>
  <si>
    <t>Clearance G</t>
  </si>
  <si>
    <t>0.5-3</t>
  </si>
  <si>
    <t>DECREASED P</t>
  </si>
  <si>
    <t>Distance K</t>
  </si>
  <si>
    <t>&lt;13</t>
  </si>
  <si>
    <t>Distance L</t>
  </si>
  <si>
    <t>&lt;9</t>
  </si>
  <si>
    <t>Clearance H</t>
  </si>
  <si>
    <t>0.5-1.5</t>
  </si>
  <si>
    <t>Clearance P</t>
  </si>
  <si>
    <t>5.5-7.5</t>
  </si>
  <si>
    <t xml:space="preserve">Center Dimension Q </t>
  </si>
  <si>
    <t>7-9</t>
  </si>
  <si>
    <t>Dimension Q</t>
  </si>
  <si>
    <t>S107</t>
  </si>
  <si>
    <t>S106</t>
  </si>
  <si>
    <t>S111</t>
  </si>
  <si>
    <t>12/02/2026 23:37</t>
  </si>
  <si>
    <t>13/02/2026 00:01</t>
  </si>
  <si>
    <t>13/02/2026 00:30</t>
  </si>
  <si>
    <t>13/02/2026 00:42</t>
  </si>
  <si>
    <t>13/02/2026 00:44</t>
  </si>
  <si>
    <t>13/02/2026 00:40</t>
  </si>
  <si>
    <t>13/02/2026 01:23</t>
  </si>
  <si>
    <t>13/02/2026 02:10</t>
  </si>
  <si>
    <t>13/02/2026 02:25</t>
  </si>
  <si>
    <t>13/02/2026 02:54</t>
  </si>
  <si>
    <t>S108</t>
  </si>
  <si>
    <t>13/02/2026 03:56</t>
  </si>
  <si>
    <t>13/02/2026 04:09</t>
  </si>
  <si>
    <t>13/02/2026 04:06</t>
  </si>
  <si>
    <t>UO729</t>
  </si>
  <si>
    <t>UO273</t>
  </si>
  <si>
    <t>UO142</t>
  </si>
  <si>
    <t>UO635</t>
  </si>
  <si>
    <t>13/02/2026 05:00</t>
  </si>
  <si>
    <t>13/02/2026 04:58</t>
  </si>
  <si>
    <t>13/02/2026 05:33</t>
  </si>
  <si>
    <t>13/02/2026 05:58</t>
  </si>
  <si>
    <t>13/02/2026 07:20</t>
  </si>
  <si>
    <t>13/02/2026 07:34</t>
  </si>
  <si>
    <t>13/02/2026 07:39</t>
  </si>
  <si>
    <t>13/02/2026 07:46</t>
  </si>
  <si>
    <t>13/02/2026 07:54</t>
  </si>
  <si>
    <t>UO 543</t>
  </si>
  <si>
    <t>UO 604</t>
  </si>
  <si>
    <t>UO 605</t>
  </si>
  <si>
    <t>UO 142</t>
  </si>
  <si>
    <t>UO 692</t>
  </si>
  <si>
    <t>UO 143</t>
  </si>
  <si>
    <t>Jason</t>
  </si>
  <si>
    <t>Asher</t>
  </si>
  <si>
    <t>Mark</t>
  </si>
  <si>
    <t>13/02/2026 08:01</t>
  </si>
  <si>
    <t>13/02/2026 08:03</t>
  </si>
  <si>
    <t>Leo Au Yeung</t>
  </si>
  <si>
    <t>NEED CRS</t>
  </si>
  <si>
    <t>BLEJUO700</t>
  </si>
  <si>
    <t>UO700</t>
  </si>
  <si>
    <t>13/02/2026 08:07</t>
  </si>
  <si>
    <t>13/02/2026 08:11</t>
  </si>
  <si>
    <t>Alson</t>
  </si>
  <si>
    <t>Ivy</t>
  </si>
  <si>
    <t>13/02/2026 08:18</t>
  </si>
  <si>
    <t>13/02/2026 08:52</t>
  </si>
  <si>
    <t>13/02/2026 09:13</t>
  </si>
  <si>
    <t>13/02/2026 09:24</t>
  </si>
  <si>
    <t>13/02/2026 09:25</t>
  </si>
  <si>
    <t>13/02/2026 09:30</t>
  </si>
  <si>
    <t>13/02/2026 09:43</t>
  </si>
  <si>
    <t>13/02/2026 09:45</t>
  </si>
  <si>
    <t>13/02/2026 09:54</t>
  </si>
  <si>
    <t>13/02/2026 10:02</t>
  </si>
  <si>
    <t>13/02/2026 10:14</t>
  </si>
  <si>
    <t>13/02/2026 10:21</t>
  </si>
  <si>
    <t>13/02/2026 10:24</t>
  </si>
  <si>
    <t>13/02/2026 10:35</t>
  </si>
  <si>
    <t>13/02/2026 10:42</t>
  </si>
  <si>
    <t>13/02/2026 10:39</t>
  </si>
  <si>
    <t>13/02/2026 11:01</t>
  </si>
  <si>
    <t>13/02/2026 11:09</t>
  </si>
  <si>
    <t>13/02/2026 11:14</t>
  </si>
  <si>
    <t>13/02/2026 11:17</t>
  </si>
  <si>
    <t>13/02/2026 11:25</t>
  </si>
  <si>
    <t>13/02/2026 11:27</t>
  </si>
  <si>
    <t>D310L</t>
  </si>
  <si>
    <t>13/02/2026 11:32</t>
  </si>
  <si>
    <t>13/02/2026 11:45</t>
  </si>
  <si>
    <t>13/02/2026 11:43</t>
  </si>
  <si>
    <t>13/02/2026 11:49</t>
  </si>
  <si>
    <t>13/02/2026 11:48</t>
  </si>
  <si>
    <t>13/02/2026 12:03</t>
  </si>
  <si>
    <t>13/02/2026 12:08</t>
  </si>
  <si>
    <t>13/02/2026 12:09</t>
  </si>
  <si>
    <t>13/02/2026 12:18</t>
  </si>
  <si>
    <t>13/02/2026 12:19</t>
  </si>
  <si>
    <t>13/02/2026 12:43</t>
  </si>
  <si>
    <t>13/02/2026 12:52</t>
  </si>
  <si>
    <t>13/02/2026 12:56</t>
  </si>
  <si>
    <t>13/02/2026 13:07</t>
  </si>
  <si>
    <t>13/02/2026 13:14</t>
  </si>
  <si>
    <t>13/02/2026 13:15</t>
  </si>
  <si>
    <t>13/02/2026 13:51</t>
  </si>
  <si>
    <t>13/02/2026 14:11</t>
  </si>
  <si>
    <t>13/02/2026 14:23</t>
  </si>
  <si>
    <t>13/02/2026 14:42</t>
  </si>
  <si>
    <t>13/02/2026 14:52</t>
  </si>
  <si>
    <t>UO533</t>
  </si>
  <si>
    <t>UO685</t>
  </si>
  <si>
    <t>13/02/2026 15:01</t>
  </si>
  <si>
    <t>13/02/2026 15:00</t>
  </si>
  <si>
    <t>13/02/2026 15:06</t>
  </si>
  <si>
    <t>13/02/2026 15:11</t>
  </si>
  <si>
    <t>13/02/2026 15:08</t>
  </si>
  <si>
    <t>13/02/2026 15:15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</si>
</sst>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dd/mm/yy;@"/>
    <numFmt numFmtId="166" formatCode="#,###&quot;&quot;"/>
    <numFmt numFmtId="167" formatCode="[h]:mm;\-#.##0##;0;@"/>
  </numFmts>
  <fonts count="5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sz val="8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2"/>
      <color rgb="FF00B050"/>
      <name val="Aptos Narrow"/>
      <family val="2"/>
      <scheme val="minor"/>
    </font>
    <font>
      <sz val="72"/>
      <color theme="8" tint="0.39997558519241921"/>
      <name val="Aptos Narrow"/>
      <family val="2"/>
      <scheme val="minor"/>
    </font>
    <font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Verdana"/>
      <family val="2"/>
      <charset val="1"/>
    </font>
    <font>
      <sz val="11"/>
      <color theme="1"/>
      <name val="Aptos Display"/>
      <family val="2"/>
      <scheme val="major"/>
    </font>
    <font>
      <sz val="11"/>
      <color rgb="FF242424"/>
      <name val="Aptos Narrow"/>
      <family val="2"/>
    </font>
    <font>
      <b/>
      <sz val="16"/>
      <color rgb="FF000000"/>
      <name val="Calibri"/>
      <family val="2"/>
    </font>
    <font>
      <sz val="11"/>
      <color theme="3" tint="0.89999084444715716"/>
      <name val="Calibri"/>
      <family val="2"/>
    </font>
    <font>
      <sz val="10"/>
      <color theme="1"/>
      <name val="Aptos Narrow"/>
      <family val="2"/>
      <scheme val="minor"/>
    </font>
    <font>
      <sz val="10"/>
      <color theme="8" tint="0.39997558519241921"/>
      <name val="Aptos Narrow"/>
      <family val="2"/>
      <scheme val="minor"/>
    </font>
    <font>
      <b/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Aptos Narrow"/>
      <family val="2"/>
      <scheme val="minor"/>
    </font>
    <font>
      <sz val="16"/>
      <color rgb="FF000000"/>
      <name val="Calibri"/>
      <family val="2"/>
    </font>
    <font>
      <sz val="20"/>
      <color theme="1"/>
      <name val="Aptos Narrow"/>
      <family val="2"/>
      <scheme val="minor"/>
    </font>
    <font>
      <b/>
      <u/>
      <sz val="22"/>
      <color theme="10"/>
      <name val="Aptos Narrow"/>
      <family val="2"/>
      <scheme val="minor"/>
    </font>
    <font>
      <b/>
      <sz val="22"/>
      <color theme="2" tint="-0.89999084444715716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22"/>
      <color theme="3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4"/>
      <color theme="1"/>
      <name val="Aptos Narrow"/>
      <family val="2"/>
      <scheme val="minor"/>
    </font>
    <font>
      <sz val="11"/>
      <color rgb="FF000000"/>
      <name val="Calibri"/>
    </font>
    <font>
      <sz val="22"/>
      <color theme="0"/>
      <name val="Aptos Narrow"/>
      <family val="2"/>
      <scheme val="minor"/>
    </font>
    <font>
      <b/>
      <sz val="11"/>
      <color rgb="FF000000"/>
      <name val="Calibri"/>
    </font>
    <font>
      <sz val="11"/>
      <color rgb="FFFF0000"/>
      <name val="Calibri"/>
    </font>
    <font>
      <b/>
      <sz val="16"/>
      <color theme="1"/>
      <name val="Aptos Narrow"/>
      <family val="2"/>
      <scheme val="minor"/>
    </font>
    <font>
      <b/>
      <sz val="16"/>
      <color theme="1" tint="4.9989318521683403E-2"/>
      <name val="Aptos Narrow"/>
      <family val="2"/>
      <scheme val="minor"/>
    </font>
    <font>
      <b/>
      <strike/>
      <sz val="22"/>
      <color theme="1"/>
      <name val="Aptos Narrow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B3FF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EDBD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285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0" fillId="0" borderId="0" xfId="0" applyFont="1"/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2" fontId="0" fillId="0" borderId="0" xfId="0" applyNumberFormat="1"/>
    <xf numFmtId="0" fontId="21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top"/>
    </xf>
    <xf numFmtId="165" fontId="20" fillId="0" borderId="0" xfId="0" applyNumberFormat="1" applyFont="1"/>
    <xf numFmtId="0" fontId="0" fillId="0" borderId="24" xfId="0" applyBorder="1" applyAlignment="1">
      <alignment horizontal="center"/>
    </xf>
    <xf numFmtId="0" fontId="0" fillId="0" borderId="0" xfId="0" applyAlignment="1">
      <alignment horizontal="center"/>
    </xf>
    <xf numFmtId="0" fontId="26" fillId="0" borderId="20" xfId="0" applyFont="1" applyBorder="1" applyAlignment="1">
      <alignment horizontal="center" vertical="center" wrapText="1"/>
    </xf>
    <xf numFmtId="0" fontId="26" fillId="0" borderId="21" xfId="0" applyFont="1" applyBorder="1" applyAlignment="1">
      <alignment horizontal="center" wrapText="1"/>
    </xf>
    <xf numFmtId="0" fontId="26" fillId="37" borderId="20" xfId="0" applyFont="1" applyFill="1" applyBorder="1" applyAlignment="1">
      <alignment horizontal="center" vertical="center" wrapText="1"/>
    </xf>
    <xf numFmtId="0" fontId="26" fillId="37" borderId="21" xfId="0" applyFont="1" applyFill="1" applyBorder="1" applyAlignment="1">
      <alignment horizontal="center" wrapText="1"/>
    </xf>
    <xf numFmtId="0" fontId="26" fillId="37" borderId="26" xfId="0" applyFont="1" applyFill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37" borderId="30" xfId="0" applyFont="1" applyFill="1" applyBorder="1" applyAlignment="1">
      <alignment horizontal="center" vertical="center" wrapText="1"/>
    </xf>
    <xf numFmtId="0" fontId="26" fillId="0" borderId="32" xfId="0" applyFont="1" applyBorder="1" applyAlignment="1">
      <alignment horizontal="center" wrapText="1"/>
    </xf>
    <xf numFmtId="0" fontId="26" fillId="0" borderId="24" xfId="0" applyFont="1" applyBorder="1" applyAlignment="1">
      <alignment horizontal="center" wrapText="1"/>
    </xf>
    <xf numFmtId="0" fontId="0" fillId="0" borderId="24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9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/>
    </xf>
    <xf numFmtId="0" fontId="29" fillId="0" borderId="13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/>
    </xf>
    <xf numFmtId="0" fontId="26" fillId="35" borderId="22" xfId="0" applyFont="1" applyFill="1" applyBorder="1" applyAlignment="1">
      <alignment horizontal="center" vertical="center" wrapText="1"/>
    </xf>
    <xf numFmtId="0" fontId="26" fillId="35" borderId="32" xfId="0" applyFont="1" applyFill="1" applyBorder="1" applyAlignment="1">
      <alignment horizontal="center" wrapText="1"/>
    </xf>
    <xf numFmtId="0" fontId="0" fillId="36" borderId="24" xfId="0" applyFill="1" applyBorder="1" applyAlignment="1">
      <alignment horizontal="center" vertical="center"/>
    </xf>
    <xf numFmtId="0" fontId="28" fillId="0" borderId="13" xfId="0" applyFont="1" applyBorder="1" applyAlignment="1">
      <alignment horizontal="center"/>
    </xf>
    <xf numFmtId="0" fontId="28" fillId="0" borderId="35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26" fillId="0" borderId="19" xfId="0" applyFont="1" applyBorder="1" applyAlignment="1">
      <alignment horizontal="left" vertical="top" wrapText="1"/>
    </xf>
    <xf numFmtId="0" fontId="26" fillId="37" borderId="19" xfId="0" applyFont="1" applyFill="1" applyBorder="1" applyAlignment="1">
      <alignment horizontal="left" vertical="top" wrapText="1"/>
    </xf>
    <xf numFmtId="0" fontId="26" fillId="37" borderId="25" xfId="0" applyFont="1" applyFill="1" applyBorder="1" applyAlignment="1">
      <alignment horizontal="left" vertical="top" wrapText="1"/>
    </xf>
    <xf numFmtId="0" fontId="26" fillId="37" borderId="27" xfId="0" applyFont="1" applyFill="1" applyBorder="1" applyAlignment="1">
      <alignment horizontal="left" vertical="top" wrapText="1"/>
    </xf>
    <xf numFmtId="0" fontId="26" fillId="0" borderId="23" xfId="0" applyFont="1" applyBorder="1" applyAlignment="1">
      <alignment horizontal="left" vertical="top" wrapText="1"/>
    </xf>
    <xf numFmtId="0" fontId="26" fillId="37" borderId="29" xfId="0" applyFont="1" applyFill="1" applyBorder="1" applyAlignment="1">
      <alignment horizontal="left" vertical="top" wrapText="1"/>
    </xf>
    <xf numFmtId="0" fontId="26" fillId="37" borderId="23" xfId="0" applyFont="1" applyFill="1" applyBorder="1" applyAlignment="1">
      <alignment horizontal="left" vertical="top" wrapText="1"/>
    </xf>
    <xf numFmtId="0" fontId="26" fillId="0" borderId="31" xfId="0" applyFont="1" applyBorder="1" applyAlignment="1">
      <alignment horizontal="left" vertical="top" wrapText="1"/>
    </xf>
    <xf numFmtId="0" fontId="26" fillId="0" borderId="24" xfId="0" applyFont="1" applyBorder="1" applyAlignment="1">
      <alignment horizontal="left" vertical="top" wrapText="1"/>
    </xf>
    <xf numFmtId="0" fontId="0" fillId="0" borderId="24" xfId="0" applyBorder="1" applyAlignment="1">
      <alignment horizontal="left" vertical="top"/>
    </xf>
    <xf numFmtId="0" fontId="26" fillId="0" borderId="13" xfId="0" applyFont="1" applyBorder="1" applyAlignment="1">
      <alignment horizontal="left" vertical="top" wrapText="1"/>
    </xf>
    <xf numFmtId="0" fontId="26" fillId="0" borderId="24" xfId="0" quotePrefix="1" applyFont="1" applyBorder="1" applyAlignment="1">
      <alignment horizontal="left" vertical="top" wrapText="1"/>
    </xf>
    <xf numFmtId="0" fontId="29" fillId="0" borderId="24" xfId="0" applyFont="1" applyBorder="1" applyAlignment="1">
      <alignment horizontal="left" vertical="top"/>
    </xf>
    <xf numFmtId="0" fontId="29" fillId="0" borderId="13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6" fillId="35" borderId="31" xfId="0" applyFont="1" applyFill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30" fillId="0" borderId="24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/>
    </xf>
    <xf numFmtId="0" fontId="29" fillId="36" borderId="24" xfId="0" applyFont="1" applyFill="1" applyBorder="1" applyAlignment="1">
      <alignment horizontal="left" vertical="top"/>
    </xf>
    <xf numFmtId="0" fontId="29" fillId="36" borderId="24" xfId="0" applyFont="1" applyFill="1" applyBorder="1" applyAlignment="1">
      <alignment horizontal="center" vertical="center"/>
    </xf>
    <xf numFmtId="0" fontId="29" fillId="36" borderId="24" xfId="0" applyFont="1" applyFill="1" applyBorder="1" applyAlignment="1">
      <alignment horizontal="center"/>
    </xf>
    <xf numFmtId="0" fontId="26" fillId="33" borderId="20" xfId="0" applyFont="1" applyFill="1" applyBorder="1" applyAlignment="1">
      <alignment horizontal="center" vertical="center" wrapText="1"/>
    </xf>
    <xf numFmtId="0" fontId="0" fillId="36" borderId="24" xfId="0" applyFill="1" applyBorder="1" applyAlignment="1">
      <alignment horizontal="left" vertical="top"/>
    </xf>
    <xf numFmtId="0" fontId="0" fillId="36" borderId="24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26" fillId="37" borderId="37" xfId="0" applyFont="1" applyFill="1" applyBorder="1" applyAlignment="1">
      <alignment horizontal="center" vertical="center" wrapText="1"/>
    </xf>
    <xf numFmtId="0" fontId="26" fillId="37" borderId="13" xfId="0" applyFont="1" applyFill="1" applyBorder="1" applyAlignment="1">
      <alignment horizontal="left" vertical="top" wrapText="1"/>
    </xf>
    <xf numFmtId="0" fontId="26" fillId="0" borderId="39" xfId="0" applyFont="1" applyBorder="1" applyAlignment="1">
      <alignment horizontal="left" vertical="top" wrapText="1"/>
    </xf>
    <xf numFmtId="0" fontId="26" fillId="0" borderId="16" xfId="0" applyFont="1" applyBorder="1" applyAlignment="1">
      <alignment horizontal="center" vertical="center" wrapText="1"/>
    </xf>
    <xf numFmtId="0" fontId="26" fillId="33" borderId="10" xfId="0" applyFont="1" applyFill="1" applyBorder="1" applyAlignment="1">
      <alignment horizontal="left" vertical="top" wrapText="1"/>
    </xf>
    <xf numFmtId="0" fontId="26" fillId="0" borderId="10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wrapText="1"/>
    </xf>
    <xf numFmtId="0" fontId="26" fillId="0" borderId="40" xfId="0" applyFont="1" applyBorder="1" applyAlignment="1">
      <alignment horizontal="center" vertical="center" wrapText="1"/>
    </xf>
    <xf numFmtId="0" fontId="26" fillId="0" borderId="33" xfId="0" applyFont="1" applyBorder="1" applyAlignment="1">
      <alignment horizontal="center" vertical="center" wrapText="1"/>
    </xf>
    <xf numFmtId="1" fontId="26" fillId="33" borderId="33" xfId="0" applyNumberFormat="1" applyFont="1" applyFill="1" applyBorder="1" applyAlignment="1">
      <alignment horizontal="center" vertical="center"/>
    </xf>
    <xf numFmtId="0" fontId="26" fillId="0" borderId="11" xfId="0" applyFont="1" applyBorder="1" applyAlignment="1">
      <alignment horizontal="center" wrapText="1"/>
    </xf>
    <xf numFmtId="0" fontId="26" fillId="39" borderId="12" xfId="0" applyFont="1" applyFill="1" applyBorder="1" applyAlignment="1">
      <alignment horizontal="left" vertical="top" wrapText="1"/>
    </xf>
    <xf numFmtId="0" fontId="26" fillId="39" borderId="12" xfId="0" applyFont="1" applyFill="1" applyBorder="1" applyAlignment="1">
      <alignment horizontal="center" vertical="center" wrapText="1"/>
    </xf>
    <xf numFmtId="0" fontId="26" fillId="39" borderId="12" xfId="0" applyFont="1" applyFill="1" applyBorder="1" applyAlignment="1">
      <alignment horizontal="center" wrapText="1"/>
    </xf>
    <xf numFmtId="0" fontId="26" fillId="0" borderId="10" xfId="0" applyFont="1" applyBorder="1" applyAlignment="1">
      <alignment horizontal="left" vertical="top" wrapText="1"/>
    </xf>
    <xf numFmtId="0" fontId="32" fillId="0" borderId="10" xfId="0" applyFont="1" applyBorder="1" applyAlignment="1">
      <alignment horizontal="center" wrapText="1"/>
    </xf>
    <xf numFmtId="0" fontId="33" fillId="0" borderId="0" xfId="0" applyFont="1"/>
    <xf numFmtId="0" fontId="24" fillId="0" borderId="41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26" fillId="33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12" xfId="0" applyFont="1" applyBorder="1" applyAlignment="1">
      <alignment horizontal="left" vertical="top" wrapText="1"/>
    </xf>
    <xf numFmtId="0" fontId="26" fillId="0" borderId="12" xfId="0" applyFont="1" applyBorder="1" applyAlignment="1">
      <alignment horizontal="center" wrapText="1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>
      <alignment horizontal="center" wrapText="1"/>
    </xf>
    <xf numFmtId="0" fontId="26" fillId="0" borderId="12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26" fillId="0" borderId="44" xfId="0" applyFont="1" applyBorder="1" applyAlignment="1">
      <alignment horizontal="left" vertical="top" wrapText="1"/>
    </xf>
    <xf numFmtId="0" fontId="29" fillId="0" borderId="10" xfId="0" applyFont="1" applyBorder="1" applyAlignment="1">
      <alignment horizontal="center"/>
    </xf>
    <xf numFmtId="0" fontId="26" fillId="33" borderId="13" xfId="0" applyFont="1" applyFill="1" applyBorder="1" applyAlignment="1">
      <alignment horizontal="left" vertical="top" wrapText="1"/>
    </xf>
    <xf numFmtId="1" fontId="26" fillId="33" borderId="14" xfId="0" applyNumberFormat="1" applyFont="1" applyFill="1" applyBorder="1" applyAlignment="1">
      <alignment horizontal="center" vertical="center"/>
    </xf>
    <xf numFmtId="0" fontId="26" fillId="37" borderId="36" xfId="0" applyFont="1" applyFill="1" applyBorder="1" applyAlignment="1">
      <alignment horizontal="left" vertical="top" wrapText="1"/>
    </xf>
    <xf numFmtId="0" fontId="26" fillId="0" borderId="38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left" vertical="top" wrapText="1"/>
    </xf>
    <xf numFmtId="0" fontId="26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wrapText="1"/>
    </xf>
    <xf numFmtId="0" fontId="36" fillId="0" borderId="19" xfId="0" applyFont="1" applyBorder="1" applyAlignment="1">
      <alignment horizontal="left" vertical="top" wrapText="1"/>
    </xf>
    <xf numFmtId="0" fontId="37" fillId="0" borderId="19" xfId="0" applyFont="1" applyBorder="1" applyAlignment="1">
      <alignment horizontal="left" vertical="top" wrapText="1"/>
    </xf>
    <xf numFmtId="0" fontId="26" fillId="0" borderId="45" xfId="0" applyFont="1" applyBorder="1" applyAlignment="1">
      <alignment horizontal="center" wrapText="1"/>
    </xf>
    <xf numFmtId="0" fontId="22" fillId="0" borderId="28" xfId="44" applyBorder="1" applyAlignment="1">
      <alignment horizontal="center" vertical="center"/>
    </xf>
    <xf numFmtId="0" fontId="0" fillId="36" borderId="36" xfId="0" applyFill="1" applyBorder="1" applyAlignment="1">
      <alignment horizontal="center" vertical="center"/>
    </xf>
    <xf numFmtId="0" fontId="26" fillId="37" borderId="0" xfId="0" applyFont="1" applyFill="1" applyAlignment="1">
      <alignment horizontal="left" vertical="top" wrapText="1"/>
    </xf>
    <xf numFmtId="0" fontId="29" fillId="0" borderId="10" xfId="0" applyFont="1" applyBorder="1" applyAlignment="1">
      <alignment horizontal="left" vertical="top"/>
    </xf>
    <xf numFmtId="0" fontId="29" fillId="0" borderId="10" xfId="0" applyFont="1" applyBorder="1" applyAlignment="1">
      <alignment horizontal="center" vertical="center"/>
    </xf>
    <xf numFmtId="0" fontId="26" fillId="0" borderId="12" xfId="0" applyFont="1" applyBorder="1" applyAlignment="1">
      <alignment horizontal="left" wrapText="1"/>
    </xf>
    <xf numFmtId="0" fontId="26" fillId="0" borderId="13" xfId="0" applyFont="1" applyBorder="1" applyAlignment="1">
      <alignment horizontal="left" wrapText="1"/>
    </xf>
    <xf numFmtId="0" fontId="26" fillId="0" borderId="13" xfId="0" applyFont="1" applyBorder="1" applyAlignment="1">
      <alignment horizontal="center" wrapText="1"/>
    </xf>
    <xf numFmtId="0" fontId="22" fillId="0" borderId="12" xfId="43" applyBorder="1" applyAlignment="1">
      <alignment horizontal="center" wrapText="1"/>
    </xf>
    <xf numFmtId="0" fontId="0" fillId="0" borderId="24" xfId="0" applyBorder="1"/>
    <xf numFmtId="0" fontId="22" fillId="0" borderId="24" xfId="43" applyBorder="1" applyAlignment="1">
      <alignment horizontal="center"/>
    </xf>
    <xf numFmtId="0" fontId="22" fillId="0" borderId="0" xfId="43" applyBorder="1" applyAlignment="1">
      <alignment horizontal="center"/>
    </xf>
    <xf numFmtId="0" fontId="0" fillId="0" borderId="14" xfId="0" applyBorder="1" applyAlignment="1">
      <alignment horizontal="left" vertical="top"/>
    </xf>
    <xf numFmtId="0" fontId="0" fillId="0" borderId="13" xfId="0" applyBorder="1" applyAlignment="1">
      <alignment horizontal="center" vertical="center" wrapText="1"/>
    </xf>
    <xf numFmtId="1" fontId="26" fillId="33" borderId="38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39" fillId="0" borderId="0" xfId="0" applyFont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0" fontId="21" fillId="0" borderId="15" xfId="0" applyFont="1" applyBorder="1" applyAlignment="1" applyProtection="1">
      <alignment horizontal="center" vertical="center"/>
      <protection locked="0"/>
    </xf>
    <xf numFmtId="166" fontId="0" fillId="0" borderId="0" xfId="0" applyNumberFormat="1"/>
    <xf numFmtId="0" fontId="0" fillId="33" borderId="10" xfId="0" applyFill="1" applyBorder="1"/>
    <xf numFmtId="0" fontId="26" fillId="0" borderId="36" xfId="0" applyFont="1" applyBorder="1" applyAlignment="1">
      <alignment horizontal="center" wrapText="1"/>
    </xf>
    <xf numFmtId="0" fontId="26" fillId="0" borderId="5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42" fillId="0" borderId="58" xfId="43" applyNumberFormat="1" applyFont="1" applyBorder="1" applyAlignment="1" applyProtection="1">
      <alignment horizontal="center" vertical="center"/>
      <protection locked="0"/>
    </xf>
    <xf numFmtId="22" fontId="0" fillId="0" borderId="10" xfId="0" applyNumberFormat="1" applyBorder="1"/>
    <xf numFmtId="0" fontId="0" fillId="33" borderId="0" xfId="0" applyFill="1"/>
    <xf numFmtId="0" fontId="26" fillId="36" borderId="0" xfId="0" applyFont="1" applyFill="1" applyAlignment="1">
      <alignment horizontal="center" wrapText="1"/>
    </xf>
    <xf numFmtId="0" fontId="21" fillId="0" borderId="58" xfId="0" applyFont="1" applyBorder="1" applyAlignment="1">
      <alignment horizontal="center" vertical="center"/>
    </xf>
    <xf numFmtId="0" fontId="21" fillId="43" borderId="58" xfId="0" applyFont="1" applyFill="1" applyBorder="1" applyAlignment="1">
      <alignment horizontal="center" vertical="center"/>
    </xf>
    <xf numFmtId="0" fontId="16" fillId="0" borderId="0" xfId="0" applyFont="1"/>
    <xf numFmtId="22" fontId="21" fillId="0" borderId="59" xfId="0" applyNumberFormat="1" applyFont="1" applyBorder="1" applyAlignment="1">
      <alignment horizontal="center" vertical="center"/>
    </xf>
    <xf numFmtId="22" fontId="20" fillId="0" borderId="59" xfId="0" applyNumberFormat="1" applyFont="1" applyBorder="1" applyAlignment="1">
      <alignment horizontal="center" vertical="center"/>
    </xf>
    <xf numFmtId="0" fontId="21" fillId="33" borderId="58" xfId="0" applyFont="1" applyFill="1" applyBorder="1" applyAlignment="1" applyProtection="1">
      <alignment horizontal="center" vertical="center"/>
      <protection locked="0"/>
    </xf>
    <xf numFmtId="0" fontId="0" fillId="33" borderId="34" xfId="0" applyFill="1" applyBorder="1"/>
    <xf numFmtId="22" fontId="0" fillId="33" borderId="10" xfId="0" applyNumberFormat="1" applyFill="1" applyBorder="1"/>
    <xf numFmtId="167" fontId="0" fillId="33" borderId="10" xfId="0" applyNumberFormat="1" applyFill="1" applyBorder="1" applyAlignment="1">
      <alignment horizontal="center" wrapText="1"/>
    </xf>
    <xf numFmtId="0" fontId="21" fillId="36" borderId="58" xfId="0" applyFont="1" applyFill="1" applyBorder="1" applyAlignment="1" applyProtection="1">
      <alignment horizontal="center" vertical="center"/>
      <protection locked="0"/>
    </xf>
    <xf numFmtId="22" fontId="23" fillId="43" borderId="34" xfId="0" applyNumberFormat="1" applyFont="1" applyFill="1" applyBorder="1" applyAlignment="1">
      <alignment horizontal="center" vertical="center"/>
    </xf>
    <xf numFmtId="0" fontId="44" fillId="43" borderId="24" xfId="0" applyFont="1" applyFill="1" applyBorder="1" applyAlignment="1">
      <alignment horizontal="center" vertical="center"/>
    </xf>
    <xf numFmtId="0" fontId="44" fillId="43" borderId="10" xfId="0" applyFont="1" applyFill="1" applyBorder="1" applyAlignment="1" applyProtection="1">
      <alignment horizontal="center" vertical="center"/>
      <protection locked="0"/>
    </xf>
    <xf numFmtId="22" fontId="44" fillId="43" borderId="10" xfId="0" applyNumberFormat="1" applyFont="1" applyFill="1" applyBorder="1" applyAlignment="1" applyProtection="1">
      <alignment horizontal="center" vertical="center"/>
      <protection locked="0"/>
    </xf>
    <xf numFmtId="0" fontId="44" fillId="43" borderId="10" xfId="0" applyFont="1" applyFill="1" applyBorder="1" applyAlignment="1">
      <alignment horizontal="center" vertical="center"/>
    </xf>
    <xf numFmtId="167" fontId="44" fillId="43" borderId="10" xfId="0" applyNumberFormat="1" applyFont="1" applyFill="1" applyBorder="1" applyAlignment="1" applyProtection="1">
      <alignment horizontal="center" vertical="center" wrapText="1"/>
      <protection locked="0"/>
    </xf>
    <xf numFmtId="22" fontId="44" fillId="43" borderId="10" xfId="0" applyNumberFormat="1" applyFont="1" applyFill="1" applyBorder="1" applyAlignment="1">
      <alignment horizontal="center" vertical="center"/>
    </xf>
    <xf numFmtId="0" fontId="21" fillId="36" borderId="58" xfId="0" applyFont="1" applyFill="1" applyBorder="1" applyAlignment="1">
      <alignment horizontal="center" vertical="center"/>
    </xf>
    <xf numFmtId="0" fontId="21" fillId="44" borderId="58" xfId="0" applyFont="1" applyFill="1" applyBorder="1" applyAlignment="1">
      <alignment horizontal="center" vertical="center"/>
    </xf>
    <xf numFmtId="0" fontId="21" fillId="45" borderId="58" xfId="0" applyFont="1" applyFill="1" applyBorder="1" applyAlignment="1">
      <alignment horizontal="center" vertical="center"/>
    </xf>
    <xf numFmtId="0" fontId="41" fillId="33" borderId="0" xfId="0" applyFont="1" applyFill="1" applyAlignment="1">
      <alignment horizontal="center" vertical="center"/>
    </xf>
    <xf numFmtId="0" fontId="48" fillId="0" borderId="13" xfId="0" applyFont="1" applyBorder="1" applyAlignment="1">
      <alignment horizontal="center" wrapText="1"/>
    </xf>
    <xf numFmtId="0" fontId="46" fillId="0" borderId="0" xfId="0" applyFont="1"/>
    <xf numFmtId="0" fontId="21" fillId="0" borderId="10" xfId="0" applyFont="1" applyBorder="1" applyAlignment="1">
      <alignment horizontal="center" vertical="center"/>
    </xf>
    <xf numFmtId="0" fontId="0" fillId="0" borderId="16" xfId="0" applyBorder="1"/>
    <xf numFmtId="0" fontId="0" fillId="0" borderId="34" xfId="0" applyBorder="1"/>
    <xf numFmtId="22" fontId="21" fillId="36" borderId="59" xfId="0" applyNumberFormat="1" applyFon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 wrapText="1"/>
    </xf>
    <xf numFmtId="22" fontId="21" fillId="33" borderId="58" xfId="0" applyNumberFormat="1" applyFont="1" applyFill="1" applyBorder="1" applyAlignment="1" applyProtection="1">
      <alignment horizontal="center" vertical="center"/>
      <protection locked="0"/>
    </xf>
    <xf numFmtId="20" fontId="21" fillId="33" borderId="58" xfId="43" applyNumberFormat="1" applyFont="1" applyFill="1" applyBorder="1" applyAlignment="1" applyProtection="1">
      <alignment horizontal="center"/>
      <protection locked="0"/>
    </xf>
    <xf numFmtId="14" fontId="21" fillId="0" borderId="58" xfId="0" applyNumberFormat="1" applyFont="1" applyBorder="1" applyAlignment="1">
      <alignment horizontal="center" vertical="center"/>
    </xf>
    <xf numFmtId="22" fontId="20" fillId="33" borderId="58" xfId="0" applyNumberFormat="1" applyFont="1" applyFill="1" applyBorder="1" applyAlignment="1">
      <alignment horizontal="center" vertical="center"/>
    </xf>
    <xf numFmtId="22" fontId="21" fillId="33" borderId="59" xfId="0" applyNumberFormat="1" applyFont="1" applyFill="1" applyBorder="1" applyAlignment="1">
      <alignment horizontal="center" vertical="center"/>
    </xf>
    <xf numFmtId="0" fontId="50" fillId="33" borderId="24" xfId="0" applyFont="1" applyFill="1" applyBorder="1" applyAlignment="1">
      <alignment horizontal="left" vertical="top" wrapText="1"/>
    </xf>
    <xf numFmtId="0" fontId="48" fillId="33" borderId="24" xfId="0" applyFont="1" applyFill="1" applyBorder="1" applyAlignment="1">
      <alignment horizontal="center" vertical="top" wrapText="1"/>
    </xf>
    <xf numFmtId="0" fontId="22" fillId="0" borderId="13" xfId="43" applyBorder="1" applyAlignment="1">
      <alignment horizontal="center" wrapText="1"/>
    </xf>
    <xf numFmtId="0" fontId="48" fillId="0" borderId="13" xfId="0" applyFont="1" applyBorder="1" applyAlignment="1">
      <alignment horizontal="left" wrapText="1"/>
    </xf>
    <xf numFmtId="0" fontId="51" fillId="0" borderId="13" xfId="0" applyFont="1" applyBorder="1" applyAlignment="1">
      <alignment horizontal="center" wrapText="1"/>
    </xf>
    <xf numFmtId="0" fontId="0" fillId="36" borderId="0" xfId="0" applyFill="1"/>
    <xf numFmtId="22" fontId="21" fillId="33" borderId="10" xfId="0" applyNumberFormat="1" applyFont="1" applyFill="1" applyBorder="1" applyAlignment="1">
      <alignment horizontal="center" vertical="center"/>
    </xf>
    <xf numFmtId="14" fontId="21" fillId="33" borderId="58" xfId="0" applyNumberFormat="1" applyFont="1" applyFill="1" applyBorder="1" applyAlignment="1">
      <alignment horizontal="center" vertical="center"/>
    </xf>
    <xf numFmtId="0" fontId="21" fillId="33" borderId="58" xfId="0" applyFont="1" applyFill="1" applyBorder="1" applyAlignment="1">
      <alignment horizontal="center" vertical="center"/>
    </xf>
    <xf numFmtId="0" fontId="47" fillId="0" borderId="0" xfId="0" applyFont="1"/>
    <xf numFmtId="0" fontId="52" fillId="0" borderId="0" xfId="0" applyFont="1" applyAlignment="1">
      <alignment horizontal="center" vertical="center"/>
    </xf>
    <xf numFmtId="0" fontId="0" fillId="46" borderId="0" xfId="0" applyFill="1"/>
    <xf numFmtId="22" fontId="21" fillId="42" borderId="59" xfId="0" applyNumberFormat="1" applyFont="1" applyFill="1" applyBorder="1" applyAlignment="1">
      <alignment horizontal="center" vertical="center"/>
    </xf>
    <xf numFmtId="22" fontId="54" fillId="0" borderId="58" xfId="0" applyNumberFormat="1" applyFont="1" applyBorder="1" applyAlignment="1">
      <alignment horizontal="center" vertical="center"/>
    </xf>
    <xf numFmtId="22" fontId="54" fillId="47" borderId="59" xfId="0" applyNumberFormat="1" applyFont="1" applyFill="1" applyBorder="1" applyAlignment="1">
      <alignment horizontal="center" vertical="center"/>
    </xf>
    <xf numFmtId="0" fontId="39" fillId="33" borderId="0" xfId="0" applyFont="1" applyFill="1"/>
    <xf numFmtId="22" fontId="21" fillId="33" borderId="58" xfId="0" applyNumberFormat="1" applyFont="1" applyFill="1" applyBorder="1" applyAlignment="1">
      <alignment horizontal="center" vertical="center"/>
    </xf>
    <xf numFmtId="22" fontId="21" fillId="33" borderId="24" xfId="0" applyNumberFormat="1" applyFont="1" applyFill="1" applyBorder="1" applyAlignment="1">
      <alignment horizontal="center" vertical="center"/>
    </xf>
    <xf numFmtId="22" fontId="21" fillId="33" borderId="60" xfId="0" applyNumberFormat="1" applyFont="1" applyFill="1" applyBorder="1" applyAlignment="1">
      <alignment horizontal="center" vertical="center"/>
    </xf>
    <xf numFmtId="22" fontId="21" fillId="33" borderId="60" xfId="0" applyNumberFormat="1" applyFont="1" applyFill="1" applyBorder="1" applyAlignment="1">
      <alignment horizontal="center" vertical="center" wrapText="1"/>
    </xf>
    <xf numFmtId="22" fontId="21" fillId="33" borderId="15" xfId="0" applyNumberFormat="1" applyFont="1" applyFill="1" applyBorder="1" applyAlignment="1">
      <alignment horizontal="center" vertical="center"/>
    </xf>
    <xf numFmtId="22" fontId="21" fillId="33" borderId="15" xfId="0" applyNumberFormat="1" applyFont="1" applyFill="1" applyBorder="1" applyAlignment="1">
      <alignment horizontal="center" vertical="center" wrapText="1"/>
    </xf>
    <xf numFmtId="0" fontId="0" fillId="33" borderId="24" xfId="0" applyFill="1" applyBorder="1"/>
    <xf numFmtId="22" fontId="21" fillId="33" borderId="61" xfId="0" applyNumberFormat="1" applyFont="1" applyFill="1" applyBorder="1" applyAlignment="1">
      <alignment horizontal="center" vertical="center"/>
    </xf>
    <xf numFmtId="22" fontId="45" fillId="33" borderId="60" xfId="0" applyNumberFormat="1" applyFont="1" applyFill="1" applyBorder="1" applyAlignment="1">
      <alignment horizontal="center" vertical="center" wrapText="1"/>
    </xf>
    <xf numFmtId="22" fontId="21" fillId="41" borderId="59" xfId="0" applyNumberFormat="1" applyFont="1" applyFill="1" applyBorder="1" applyAlignment="1">
      <alignment horizontal="center" vertical="center"/>
    </xf>
    <xf numFmtId="22" fontId="21" fillId="44" borderId="59" xfId="0" applyNumberFormat="1" applyFont="1" applyFill="1" applyBorder="1" applyAlignment="1">
      <alignment horizontal="center" vertical="center"/>
    </xf>
    <xf numFmtId="22" fontId="21" fillId="48" borderId="59" xfId="0" applyNumberFormat="1" applyFont="1" applyFill="1" applyBorder="1" applyAlignment="1">
      <alignment horizontal="center" vertical="center"/>
    </xf>
    <xf numFmtId="22" fontId="21" fillId="0" borderId="60" xfId="0" applyNumberFormat="1" applyFont="1" applyBorder="1" applyAlignment="1">
      <alignment horizontal="center" vertical="center"/>
    </xf>
    <xf numFmtId="0" fontId="44" fillId="43" borderId="13" xfId="0" applyFont="1" applyFill="1" applyBorder="1" applyAlignment="1">
      <alignment horizontal="center" vertical="center"/>
    </xf>
    <xf numFmtId="0" fontId="49" fillId="43" borderId="62" xfId="0" applyFont="1" applyFill="1" applyBorder="1"/>
    <xf numFmtId="0" fontId="0" fillId="43" borderId="12" xfId="0" applyFill="1" applyBorder="1"/>
    <xf numFmtId="0" fontId="0" fillId="33" borderId="36" xfId="0" applyFill="1" applyBorder="1"/>
    <xf numFmtId="0" fontId="0" fillId="0" borderId="36" xfId="0" applyBorder="1"/>
    <xf numFmtId="0" fontId="20" fillId="33" borderId="10" xfId="0" applyFont="1" applyFill="1" applyBorder="1" applyAlignment="1">
      <alignment horizontal="center" vertical="center"/>
    </xf>
    <xf numFmtId="0" fontId="20" fillId="0" borderId="10" xfId="0" applyFont="1" applyBorder="1"/>
    <xf numFmtId="0" fontId="46" fillId="33" borderId="10" xfId="0" applyFont="1" applyFill="1" applyBorder="1"/>
    <xf numFmtId="0" fontId="39" fillId="33" borderId="10" xfId="0" applyFont="1" applyFill="1" applyBorder="1"/>
    <xf numFmtId="0" fontId="47" fillId="33" borderId="10" xfId="0" applyFont="1" applyFill="1" applyBorder="1"/>
    <xf numFmtId="0" fontId="52" fillId="33" borderId="10" xfId="0" applyFont="1" applyFill="1" applyBorder="1" applyAlignment="1">
      <alignment horizontal="center"/>
    </xf>
    <xf numFmtId="0" fontId="16" fillId="33" borderId="10" xfId="0" applyFont="1" applyFill="1" applyBorder="1" applyAlignment="1">
      <alignment horizontal="center" vertical="center"/>
    </xf>
    <xf numFmtId="0" fontId="52" fillId="33" borderId="10" xfId="0" applyFont="1" applyFill="1" applyBorder="1" applyAlignment="1">
      <alignment horizontal="center" vertical="center"/>
    </xf>
    <xf numFmtId="0" fontId="53" fillId="33" borderId="0" xfId="0" applyFont="1" applyFill="1" applyAlignment="1">
      <alignment wrapText="1"/>
    </xf>
    <xf numFmtId="0" fontId="0" fillId="33" borderId="16" xfId="0" applyFill="1" applyBorder="1"/>
    <xf numFmtId="22" fontId="21" fillId="33" borderId="57" xfId="0" applyNumberFormat="1" applyFont="1" applyFill="1" applyBorder="1" applyAlignment="1">
      <alignment horizontal="center" vertical="center"/>
    </xf>
    <xf numFmtId="0" fontId="0" fillId="0" borderId="63" xfId="0" applyBorder="1"/>
    <xf numFmtId="22" fontId="21" fillId="0" borderId="58" xfId="0" applyNumberFormat="1" applyFont="1" applyBorder="1" applyAlignment="1">
      <alignment horizontal="center" vertical="center"/>
    </xf>
    <xf numFmtId="22" fontId="21" fillId="0" borderId="61" xfId="0" applyNumberFormat="1" applyFont="1" applyBorder="1" applyAlignment="1">
      <alignment horizontal="center" vertical="center"/>
    </xf>
    <xf numFmtId="22" fontId="21" fillId="0" borderId="64" xfId="0" applyNumberFormat="1" applyFont="1" applyBorder="1" applyAlignment="1">
      <alignment horizontal="center" vertical="center"/>
    </xf>
    <xf numFmtId="22" fontId="21" fillId="33" borderId="64" xfId="0" applyNumberFormat="1" applyFont="1" applyFill="1" applyBorder="1" applyAlignment="1">
      <alignment horizontal="center" vertical="center"/>
    </xf>
    <xf numFmtId="0" fontId="0" fillId="33" borderId="11" xfId="0" applyFill="1" applyBorder="1"/>
    <xf numFmtId="0" fontId="0" fillId="0" borderId="65" xfId="0" applyBorder="1"/>
    <xf numFmtId="22" fontId="45" fillId="33" borderId="24" xfId="0" applyNumberFormat="1" applyFont="1" applyFill="1" applyBorder="1" applyAlignment="1">
      <alignment horizontal="center" vertical="center"/>
    </xf>
    <xf numFmtId="22" fontId="45" fillId="33" borderId="24" xfId="0" applyNumberFormat="1" applyFont="1" applyFill="1" applyBorder="1" applyAlignment="1">
      <alignment horizontal="center" vertical="center" wrapText="1"/>
    </xf>
    <xf numFmtId="22" fontId="21" fillId="0" borderId="24" xfId="0" applyNumberFormat="1" applyFont="1" applyBorder="1" applyAlignment="1">
      <alignment horizontal="center" vertical="center"/>
    </xf>
    <xf numFmtId="22" fontId="21" fillId="33" borderId="33" xfId="0" applyNumberFormat="1" applyFont="1" applyFill="1" applyBorder="1" applyAlignment="1">
      <alignment horizontal="center" vertical="center"/>
    </xf>
    <xf numFmtId="0" fontId="0" fillId="0" borderId="33" xfId="0" applyBorder="1"/>
    <xf numFmtId="0" fontId="0" fillId="33" borderId="12" xfId="0" applyFill="1" applyBorder="1"/>
    <xf numFmtId="0" fontId="0" fillId="0" borderId="12" xfId="0" applyBorder="1"/>
    <xf numFmtId="0" fontId="0" fillId="0" borderId="11" xfId="0" applyBorder="1"/>
    <xf numFmtId="0" fontId="0" fillId="33" borderId="35" xfId="0" applyFill="1" applyBorder="1"/>
    <xf numFmtId="22" fontId="21" fillId="33" borderId="13" xfId="0" applyNumberFormat="1" applyFont="1" applyFill="1" applyBorder="1" applyAlignment="1">
      <alignment horizontal="center" vertical="center"/>
    </xf>
    <xf numFmtId="0" fontId="0" fillId="33" borderId="13" xfId="0" applyFill="1" applyBorder="1"/>
    <xf numFmtId="0" fontId="0" fillId="0" borderId="13" xfId="0" applyBorder="1"/>
    <xf numFmtId="0" fontId="0" fillId="33" borderId="28" xfId="0" applyFill="1" applyBorder="1"/>
    <xf numFmtId="0" fontId="0" fillId="0" borderId="28" xfId="0" applyBorder="1"/>
    <xf numFmtId="22" fontId="21" fillId="36" borderId="33" xfId="0" applyNumberFormat="1" applyFont="1" applyFill="1" applyBorder="1" applyAlignment="1">
      <alignment horizontal="center" vertical="center"/>
    </xf>
    <xf numFmtId="22" fontId="21" fillId="36" borderId="36" xfId="0" applyNumberFormat="1" applyFont="1" applyFill="1" applyBorder="1" applyAlignment="1">
      <alignment horizontal="center" vertical="center" wrapText="1"/>
    </xf>
    <xf numFmtId="0" fontId="0" fillId="36" borderId="24" xfId="0" applyFill="1" applyBorder="1"/>
    <xf numFmtId="0" fontId="31" fillId="35" borderId="41" xfId="0" applyFont="1" applyFill="1" applyBorder="1" applyAlignment="1">
      <alignment horizontal="center" vertical="center" wrapText="1"/>
    </xf>
    <xf numFmtId="0" fontId="31" fillId="35" borderId="42" xfId="0" applyFont="1" applyFill="1" applyBorder="1" applyAlignment="1">
      <alignment horizontal="center" vertical="center" wrapText="1"/>
    </xf>
    <xf numFmtId="0" fontId="31" fillId="35" borderId="43" xfId="0" applyFont="1" applyFill="1" applyBorder="1" applyAlignment="1">
      <alignment horizontal="center" vertical="center" wrapText="1"/>
    </xf>
    <xf numFmtId="0" fontId="31" fillId="40" borderId="41" xfId="0" applyFont="1" applyFill="1" applyBorder="1" applyAlignment="1">
      <alignment horizontal="center" vertical="center" wrapText="1"/>
    </xf>
    <xf numFmtId="0" fontId="40" fillId="40" borderId="42" xfId="0" applyFont="1" applyFill="1" applyBorder="1" applyAlignment="1">
      <alignment horizontal="center" vertical="center" wrapText="1"/>
    </xf>
    <xf numFmtId="0" fontId="40" fillId="40" borderId="43" xfId="0" applyFont="1" applyFill="1" applyBorder="1" applyAlignment="1">
      <alignment horizontal="center" vertical="center" wrapText="1"/>
    </xf>
    <xf numFmtId="0" fontId="25" fillId="34" borderId="10" xfId="0" applyFont="1" applyFill="1" applyBorder="1" applyAlignment="1">
      <alignment wrapText="1"/>
    </xf>
    <xf numFmtId="0" fontId="31" fillId="38" borderId="41" xfId="0" applyFont="1" applyFill="1" applyBorder="1" applyAlignment="1">
      <alignment horizontal="center" vertical="center" wrapText="1"/>
    </xf>
    <xf numFmtId="0" fontId="31" fillId="38" borderId="42" xfId="0" applyFont="1" applyFill="1" applyBorder="1" applyAlignment="1">
      <alignment horizontal="center" vertical="center" wrapText="1"/>
    </xf>
    <xf numFmtId="0" fontId="31" fillId="38" borderId="43" xfId="0" applyFont="1" applyFill="1" applyBorder="1" applyAlignment="1">
      <alignment horizontal="center" vertical="center" wrapText="1"/>
    </xf>
    <xf numFmtId="0" fontId="26" fillId="38" borderId="33" xfId="0" applyFont="1" applyFill="1" applyBorder="1" applyAlignment="1">
      <alignment horizontal="center" wrapText="1"/>
    </xf>
    <xf numFmtId="0" fontId="26" fillId="38" borderId="34" xfId="0" applyFont="1" applyFill="1" applyBorder="1" applyAlignment="1">
      <alignment horizontal="center" wrapText="1"/>
    </xf>
    <xf numFmtId="0" fontId="26" fillId="38" borderId="35" xfId="0" applyFont="1" applyFill="1" applyBorder="1" applyAlignment="1">
      <alignment horizontal="center" wrapText="1"/>
    </xf>
    <xf numFmtId="0" fontId="35" fillId="36" borderId="46" xfId="0" applyFont="1" applyFill="1" applyBorder="1" applyAlignment="1">
      <alignment horizontal="left" vertical="top" wrapText="1"/>
    </xf>
    <xf numFmtId="0" fontId="35" fillId="36" borderId="47" xfId="0" applyFont="1" applyFill="1" applyBorder="1" applyAlignment="1">
      <alignment horizontal="left" vertical="top" wrapText="1"/>
    </xf>
    <xf numFmtId="0" fontId="35" fillId="36" borderId="48" xfId="0" applyFont="1" applyFill="1" applyBorder="1" applyAlignment="1">
      <alignment horizontal="left" vertical="top" wrapText="1"/>
    </xf>
    <xf numFmtId="0" fontId="35" fillId="40" borderId="41" xfId="0" applyFont="1" applyFill="1" applyBorder="1" applyAlignment="1">
      <alignment horizontal="left" vertical="center" wrapText="1"/>
    </xf>
    <xf numFmtId="0" fontId="35" fillId="40" borderId="42" xfId="0" applyFont="1" applyFill="1" applyBorder="1" applyAlignment="1">
      <alignment horizontal="left" vertical="center" wrapText="1"/>
    </xf>
    <xf numFmtId="0" fontId="35" fillId="40" borderId="43" xfId="0" applyFont="1" applyFill="1" applyBorder="1" applyAlignment="1">
      <alignment horizontal="left" vertical="center" wrapText="1"/>
    </xf>
    <xf numFmtId="0" fontId="35" fillId="40" borderId="52" xfId="0" applyFont="1" applyFill="1" applyBorder="1" applyAlignment="1">
      <alignment horizontal="left" vertical="center" wrapText="1"/>
    </xf>
    <xf numFmtId="0" fontId="35" fillId="40" borderId="53" xfId="0" applyFont="1" applyFill="1" applyBorder="1" applyAlignment="1">
      <alignment horizontal="left" vertical="center" wrapText="1"/>
    </xf>
    <xf numFmtId="0" fontId="35" fillId="40" borderId="18" xfId="0" applyFont="1" applyFill="1" applyBorder="1" applyAlignment="1">
      <alignment horizontal="left" vertical="center" wrapText="1"/>
    </xf>
    <xf numFmtId="0" fontId="35" fillId="36" borderId="54" xfId="0" applyFont="1" applyFill="1" applyBorder="1" applyAlignment="1">
      <alignment horizontal="left" vertical="top" wrapText="1"/>
    </xf>
    <xf numFmtId="0" fontId="35" fillId="36" borderId="55" xfId="0" applyFont="1" applyFill="1" applyBorder="1" applyAlignment="1">
      <alignment horizontal="left" vertical="top" wrapText="1"/>
    </xf>
    <xf numFmtId="0" fontId="35" fillId="36" borderId="56" xfId="0" applyFont="1" applyFill="1" applyBorder="1" applyAlignment="1">
      <alignment horizontal="left" vertical="top" wrapText="1"/>
    </xf>
    <xf numFmtId="0" fontId="31" fillId="41" borderId="41" xfId="0" applyFont="1" applyFill="1" applyBorder="1" applyAlignment="1">
      <alignment horizontal="center" vertical="center" wrapText="1"/>
    </xf>
    <xf numFmtId="0" fontId="31" fillId="41" borderId="42" xfId="0" applyFont="1" applyFill="1" applyBorder="1" applyAlignment="1">
      <alignment horizontal="center" vertical="center" wrapText="1"/>
    </xf>
    <xf numFmtId="0" fontId="31" fillId="41" borderId="43" xfId="0" applyFont="1" applyFill="1" applyBorder="1" applyAlignment="1">
      <alignment horizontal="center" vertical="center" wrapText="1"/>
    </xf>
    <xf numFmtId="0" fontId="35" fillId="36" borderId="49" xfId="0" applyFont="1" applyFill="1" applyBorder="1" applyAlignment="1">
      <alignment horizontal="left" vertical="center" wrapText="1"/>
    </xf>
    <xf numFmtId="0" fontId="35" fillId="36" borderId="50" xfId="0" applyFont="1" applyFill="1" applyBorder="1" applyAlignment="1">
      <alignment horizontal="left" vertical="center" wrapText="1"/>
    </xf>
    <xf numFmtId="0" fontId="35" fillId="36" borderId="51" xfId="0" applyFont="1" applyFill="1" applyBorder="1" applyAlignment="1">
      <alignment horizontal="left" vertical="center" wrapText="1"/>
    </xf>
    <xf numFmtId="0" fontId="27" fillId="42" borderId="46" xfId="0" applyFont="1" applyFill="1" applyBorder="1" applyAlignment="1">
      <alignment horizontal="left" vertical="top" wrapText="1"/>
    </xf>
    <xf numFmtId="0" fontId="27" fillId="42" borderId="47" xfId="0" applyFont="1" applyFill="1" applyBorder="1" applyAlignment="1">
      <alignment horizontal="left" vertical="top" wrapText="1"/>
    </xf>
    <xf numFmtId="0" fontId="27" fillId="42" borderId="48" xfId="0" applyFont="1" applyFill="1" applyBorder="1" applyAlignment="1">
      <alignment horizontal="left" vertical="top" wrapText="1"/>
    </xf>
    <xf numFmtId="0" fontId="38" fillId="36" borderId="41" xfId="0" applyFont="1" applyFill="1" applyBorder="1" applyAlignment="1">
      <alignment horizontal="center" vertical="center"/>
    </xf>
    <xf numFmtId="0" fontId="38" fillId="36" borderId="42" xfId="0" applyFont="1" applyFill="1" applyBorder="1" applyAlignment="1">
      <alignment horizontal="center" vertical="center"/>
    </xf>
    <xf numFmtId="0" fontId="38" fillId="36" borderId="43" xfId="0" applyFont="1" applyFill="1" applyBorder="1" applyAlignment="1">
      <alignment horizontal="center" vertical="center"/>
    </xf>
    <xf numFmtId="0" fontId="50" fillId="42" borderId="24" xfId="0" applyFont="1" applyFill="1" applyBorder="1" applyAlignment="1">
      <alignment horizontal="left" vertical="top" wrapText="1"/>
    </xf>
    <xf numFmtId="0" fontId="38" fillId="38" borderId="41" xfId="0" applyFont="1" applyFill="1" applyBorder="1" applyAlignment="1">
      <alignment horizontal="center" vertical="center"/>
    </xf>
    <xf numFmtId="0" fontId="38" fillId="38" borderId="42" xfId="0" applyFont="1" applyFill="1" applyBorder="1" applyAlignment="1">
      <alignment horizontal="center" vertical="center"/>
    </xf>
    <xf numFmtId="0" fontId="38" fillId="38" borderId="43" xfId="0" applyFont="1" applyFill="1" applyBorder="1" applyAlignment="1">
      <alignment horizontal="center" vertical="center"/>
    </xf>
    <xf numFmtId="0" fontId="16" fillId="36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0" fillId="33" borderId="10" xfId="0" applyFill="1" applyBorder="1" applyAlignment="1">
      <alignment vertical="center"/>
    </xf>
    <xf numFmtId="22" fontId="21" fillId="36" borderId="24" xfId="0" applyNumberFormat="1" applyFont="1" applyFill="1" applyBorder="1" applyAlignment="1">
      <alignment horizontal="center" vertical="center"/>
    </xf>
    <xf numFmtId="22" fontId="43" fillId="36" borderId="2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xr:uid="{00000000-000B-0000-0000-000008000000}"/>
    <cellStyle name="Hyperlink 2" xfId="44" xr:uid="{53E917F0-DF6F-4F0C-A27D-EF93B5F98068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672BACA9-7AD9-45B5-AC6C-E8B3B1EEB7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5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</dxf>
    <dxf>
      <numFmt numFmtId="0" formatCode="General"/>
    </dxf>
    <dxf>
      <numFmt numFmtId="19" formatCode="m/d/yyyy"/>
    </dxf>
    <dxf>
      <numFmt numFmtId="19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27" formatCode="m/d/yyyy\ 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27" formatCode="m/d/yyyy\ 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25" formatCode="h:mm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22"/>
        <color theme="10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27" formatCode="m/d/yyyy\ 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27" formatCode="m/d/yyyy\ 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  <protection locked="0" hidden="0"/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ill>
        <patternFill>
          <bgColor rgb="FF00B0F0"/>
        </patternFill>
      </fill>
    </dxf>
    <dxf>
      <font>
        <color theme="0"/>
      </font>
      <fill>
        <patternFill patternType="darkTrellis">
          <fgColor theme="1"/>
          <bgColor theme="2"/>
        </patternFill>
      </fill>
    </dxf>
    <dxf>
      <fill>
        <patternFill patternType="lightTrellis">
          <fgColor theme="2"/>
          <bgColor rgb="FFFF5050"/>
        </patternFill>
      </fill>
    </dxf>
    <dxf>
      <fill>
        <patternFill patternType="mediumGray">
          <fgColor theme="0"/>
          <bgColor rgb="FF00B050"/>
        </patternFill>
      </fill>
    </dxf>
    <dxf>
      <fill>
        <patternFill patternType="lightGrid">
          <fgColor theme="2"/>
          <bgColor rgb="FFFFFF00"/>
        </patternFill>
      </fill>
    </dxf>
    <dxf>
      <font>
        <color theme="0"/>
      </font>
      <fill>
        <patternFill>
          <bgColor theme="3" tint="0.24994659260841701"/>
        </patternFill>
      </fill>
    </dxf>
    <dxf>
      <font>
        <color theme="0"/>
      </font>
      <fill>
        <patternFill>
          <bgColor theme="9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77777"/>
        </patternFill>
      </fill>
    </dxf>
    <dxf>
      <fill>
        <patternFill>
          <bgColor rgb="FF00B0F0"/>
        </patternFill>
      </fill>
    </dxf>
    <dxf>
      <font>
        <color theme="0"/>
      </font>
      <fill>
        <patternFill patternType="darkTrellis">
          <fgColor theme="1"/>
          <bgColor theme="2"/>
        </patternFill>
      </fill>
    </dxf>
    <dxf>
      <fill>
        <patternFill patternType="lightTrellis">
          <fgColor theme="2"/>
          <bgColor rgb="FFFF5050"/>
        </patternFill>
      </fill>
    </dxf>
    <dxf>
      <fill>
        <patternFill patternType="mediumGray">
          <fgColor theme="0"/>
          <bgColor rgb="FF00B050"/>
        </patternFill>
      </fill>
    </dxf>
    <dxf>
      <fill>
        <patternFill patternType="lightGrid">
          <fgColor theme="2"/>
          <bgColor rgb="FFFFFF00"/>
        </patternFill>
      </fill>
    </dxf>
    <dxf>
      <font>
        <color theme="0"/>
      </font>
      <fill>
        <patternFill>
          <bgColor theme="3" tint="0.24994659260841701"/>
        </patternFill>
      </fill>
    </dxf>
    <dxf>
      <font>
        <color theme="0"/>
      </font>
      <fill>
        <patternFill>
          <bgColor theme="9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77777"/>
        </patternFill>
      </fill>
    </dxf>
    <dxf>
      <fill>
        <patternFill>
          <bgColor rgb="FF00B0F0"/>
        </patternFill>
      </fill>
    </dxf>
    <dxf>
      <font>
        <color theme="0"/>
      </font>
      <fill>
        <patternFill patternType="darkTrellis">
          <fgColor theme="1"/>
          <bgColor theme="2"/>
        </patternFill>
      </fill>
    </dxf>
    <dxf>
      <fill>
        <patternFill patternType="lightTrellis">
          <fgColor theme="2"/>
          <bgColor rgb="FFFF5050"/>
        </patternFill>
      </fill>
    </dxf>
    <dxf>
      <fill>
        <patternFill patternType="mediumGray">
          <fgColor theme="0"/>
          <bgColor rgb="FF00B050"/>
        </patternFill>
      </fill>
    </dxf>
    <dxf>
      <fill>
        <patternFill patternType="lightGrid">
          <fgColor theme="2"/>
          <bgColor rgb="FFFFFF00"/>
        </patternFill>
      </fill>
    </dxf>
    <dxf>
      <font>
        <color theme="0"/>
      </font>
      <fill>
        <patternFill>
          <bgColor theme="3" tint="0.24994659260841701"/>
        </patternFill>
      </fill>
    </dxf>
    <dxf>
      <font>
        <color theme="0"/>
      </font>
      <fill>
        <patternFill>
          <bgColor theme="9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77777"/>
        </patternFill>
      </fill>
    </dxf>
    <dxf>
      <fill>
        <patternFill>
          <bgColor rgb="FF00B0F0"/>
        </patternFill>
      </fill>
    </dxf>
    <dxf>
      <font>
        <color theme="0"/>
      </font>
      <fill>
        <patternFill patternType="darkTrellis">
          <fgColor theme="1"/>
          <bgColor theme="2"/>
        </patternFill>
      </fill>
    </dxf>
    <dxf>
      <fill>
        <patternFill patternType="lightTrellis">
          <fgColor theme="2"/>
          <bgColor rgb="FFFF5050"/>
        </patternFill>
      </fill>
    </dxf>
    <dxf>
      <fill>
        <patternFill patternType="mediumGray">
          <fgColor theme="0"/>
          <bgColor rgb="FF00B050"/>
        </patternFill>
      </fill>
    </dxf>
    <dxf>
      <fill>
        <patternFill patternType="lightGrid">
          <fgColor theme="2"/>
          <bgColor rgb="FFFFFF00"/>
        </patternFill>
      </fill>
    </dxf>
    <dxf>
      <font>
        <color theme="0"/>
      </font>
      <fill>
        <patternFill>
          <bgColor theme="3" tint="0.24994659260841701"/>
        </patternFill>
      </fill>
    </dxf>
    <dxf>
      <font>
        <color theme="0"/>
      </font>
      <fill>
        <patternFill>
          <bgColor theme="9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77777"/>
        </patternFill>
      </fill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ill>
        <patternFill>
          <bgColor rgb="FF00B0F0"/>
        </patternFill>
      </fill>
    </dxf>
    <dxf>
      <font>
        <color theme="0"/>
      </font>
      <fill>
        <patternFill patternType="darkTrellis">
          <fgColor theme="1"/>
          <bgColor theme="2"/>
        </patternFill>
      </fill>
    </dxf>
    <dxf>
      <fill>
        <patternFill patternType="lightTrellis">
          <fgColor theme="2"/>
          <bgColor rgb="FFFF5050"/>
        </patternFill>
      </fill>
    </dxf>
    <dxf>
      <fill>
        <patternFill patternType="mediumGray">
          <fgColor theme="0"/>
          <bgColor rgb="FF00B050"/>
        </patternFill>
      </fill>
    </dxf>
    <dxf>
      <fill>
        <patternFill patternType="lightGrid">
          <fgColor theme="2"/>
          <bgColor rgb="FFFFFF00"/>
        </patternFill>
      </fill>
    </dxf>
    <dxf>
      <font>
        <color theme="0"/>
      </font>
      <fill>
        <patternFill>
          <bgColor theme="3" tint="0.24994659260841701"/>
        </patternFill>
      </fill>
    </dxf>
    <dxf>
      <font>
        <color theme="0"/>
      </font>
      <fill>
        <patternFill>
          <bgColor theme="9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77777"/>
        </patternFill>
      </fill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ont>
        <color theme="4" tint="0.39994506668294322"/>
      </font>
      <fill>
        <patternFill>
          <bgColor rgb="FFCC00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u val="none"/>
        <color theme="4" tint="-0.24994659260841701"/>
      </font>
      <fill>
        <patternFill patternType="solid">
          <bgColor theme="0" tint="-0.14996795556505021"/>
        </patternFill>
      </fill>
    </dxf>
    <dxf>
      <font>
        <color rgb="FF6C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1"/>
      </font>
      <fill>
        <patternFill patternType="gray125">
          <fgColor theme="2" tint="-9.9917600024414813E-2"/>
          <bgColor rgb="FFFF0000"/>
        </patternFill>
      </fill>
    </dxf>
    <dxf>
      <fill>
        <gradientFill degree="45">
          <stop position="0">
            <color theme="9" tint="0.40000610370189521"/>
          </stop>
          <stop position="0.5">
            <color theme="9" tint="-0.49803155613879818"/>
          </stop>
          <stop position="1">
            <color theme="9" tint="0.40000610370189521"/>
          </stop>
        </gradientFill>
      </fill>
    </dxf>
    <dxf>
      <fill>
        <patternFill patternType="darkDown">
          <fgColor theme="3" tint="0.749961851863155"/>
          <bgColor theme="4" tint="0.59996337778862885"/>
        </patternFill>
      </fill>
    </dxf>
    <dxf>
      <font>
        <color theme="0"/>
      </font>
      <fill>
        <patternFill patternType="gray0625">
          <fgColor theme="0"/>
          <bgColor theme="1"/>
        </patternFill>
      </fill>
    </dxf>
    <dxf>
      <fill>
        <gradientFill degree="180">
          <stop position="0">
            <color rgb="FFFFFFCC"/>
          </stop>
          <stop position="1">
            <color rgb="FFFFFF00"/>
          </stop>
        </gradientFill>
      </fill>
    </dxf>
    <dxf>
      <fill>
        <gradientFill>
          <stop position="0">
            <color theme="3" tint="0.74901577806939912"/>
          </stop>
          <stop position="0.5">
            <color rgb="FFFFFF00"/>
          </stop>
          <stop position="1">
            <color theme="3" tint="0.74901577806939912"/>
          </stop>
        </gradientFill>
      </fill>
    </dxf>
    <dxf>
      <fill>
        <gradientFill>
          <stop position="0">
            <color theme="8" tint="0.80001220740379042"/>
          </stop>
          <stop position="0.5">
            <color theme="3" tint="0.74901577806939912"/>
          </stop>
          <stop position="1">
            <color theme="8" tint="0.80001220740379042"/>
          </stop>
        </gradientFill>
      </fill>
    </dxf>
    <dxf>
      <fill>
        <gradientFill>
          <stop position="0">
            <color theme="8" tint="0.80001220740379042"/>
          </stop>
          <stop position="0.5">
            <color rgb="FFFFFF00"/>
          </stop>
          <stop position="1">
            <color theme="8" tint="0.80001220740379042"/>
          </stop>
        </gradientFill>
      </fill>
    </dxf>
    <dxf>
      <fill>
        <patternFill patternType="solid">
          <fgColor auto="1"/>
          <bgColor rgb="FF9966FF"/>
        </patternFill>
      </fill>
    </dxf>
    <dxf>
      <fill>
        <gradientFill degree="270">
          <stop position="0">
            <color theme="7" tint="0.59999389629810485"/>
          </stop>
          <stop position="1">
            <color rgb="FFFFFF00"/>
          </stop>
        </gradientFill>
      </fill>
    </dxf>
    <dxf>
      <fill>
        <patternFill patternType="solid">
          <fgColor auto="1"/>
          <bgColor rgb="FFEE8CF0"/>
        </patternFill>
      </fill>
    </dxf>
    <dxf>
      <font>
        <color rgb="FF6C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EF57F3"/>
      <color rgb="FF777777"/>
      <color rgb="FFEE8CF0"/>
      <color rgb="FFDE82D5"/>
      <color rgb="FFE8A6E2"/>
      <color rgb="FFCC0066"/>
      <color rgb="FF9966FF"/>
      <color rgb="FFEDBDE8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2294</xdr:row>
          <xdr:rowOff>0</xdr:rowOff>
        </xdr:from>
        <xdr:to>
          <xdr:col>21</xdr:col>
          <xdr:colOff>409575</xdr:colOff>
          <xdr:row>2295</xdr:row>
          <xdr:rowOff>171450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2066925</xdr:colOff>
          <xdr:row>264</xdr:row>
          <xdr:rowOff>0</xdr:rowOff>
        </xdr:from>
        <xdr:to>
          <xdr:col>21</xdr:col>
          <xdr:colOff>1143000</xdr:colOff>
          <xdr:row>1975</xdr:row>
          <xdr:rowOff>152400</xdr:rowOff>
        </xdr:to>
        <xdr:sp macro="" textlink="">
          <xdr:nvSpPr>
            <xdr:cNvPr id="2058" name="List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276</xdr:row>
          <xdr:rowOff>0</xdr:rowOff>
        </xdr:from>
        <xdr:to>
          <xdr:col>24</xdr:col>
          <xdr:colOff>57150</xdr:colOff>
          <xdr:row>391</xdr:row>
          <xdr:rowOff>0</xdr:rowOff>
        </xdr:to>
        <xdr:sp macro="" textlink="">
          <xdr:nvSpPr>
            <xdr:cNvPr id="2062" name="Label1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114300</xdr:rowOff>
        </xdr:from>
        <xdr:to>
          <xdr:col>11</xdr:col>
          <xdr:colOff>485775</xdr:colOff>
          <xdr:row>9</xdr:row>
          <xdr:rowOff>419100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14</xdr:row>
          <xdr:rowOff>161925</xdr:rowOff>
        </xdr:from>
        <xdr:to>
          <xdr:col>8</xdr:col>
          <xdr:colOff>142875</xdr:colOff>
          <xdr:row>16</xdr:row>
          <xdr:rowOff>76200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20</xdr:row>
          <xdr:rowOff>19050</xdr:rowOff>
        </xdr:from>
        <xdr:to>
          <xdr:col>4</xdr:col>
          <xdr:colOff>771525</xdr:colOff>
          <xdr:row>21</xdr:row>
          <xdr:rowOff>123825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RR" id="{15B3DEBA-61EA-4DEB-A237-1DE542870403}">
    <nsvFilter filterId="{FFE6D8B9-7C3F-40F9-A5A3-2592EFA15E4D}" ref="A1:R288" tableId="1">
      <columnFilter colId="7" id="{290109FD-AEC3-4457-B7ED-DBAC85F6E7CB}">
        <filter colId="7">
          <x:filters>
            <x:filter val="-"/>
            <x:filter val="BHSL"/>
            <x:filter val="BHSM"/>
            <x:filter val="BKKA"/>
            <x:filter val="BKKB"/>
            <x:filter val="BKKC"/>
            <x:filter val="BKKD"/>
            <x:filter val="BKKE"/>
            <x:filter val="BKKF"/>
            <x:filter val="BKKG"/>
            <x:filter val="BKKH"/>
            <x:filter val="BKKI"/>
            <x:filter val="BKKJ"/>
            <x:filter val="BKKL"/>
            <x:filter val="BKKM"/>
            <x:filter val="BKKN"/>
            <x:filter val="BKKO"/>
            <x:filter val="BKKP"/>
            <x:filter val="BKKQ"/>
            <x:filter val="BLCH"/>
            <x:filter val="BLCI"/>
            <x:filter val="BLCJ"/>
            <x:filter val="BLCL"/>
            <x:filter val="BLCM"/>
            <x:filter val="BLCN"/>
            <x:filter val="BLCS"/>
          </x:filters>
        </filter>
      </columnFilter>
    </nsvFilter>
  </namedSheetView>
  <namedSheetView name="HKE" id="{FFA89C2B-3E94-40DB-99BB-AEDBF62BA653}">
    <nsvFilter filterId="{FFE6D8B9-7C3F-40F9-A5A3-2592EFA15E4D}" ref="A1:R288" tableId="1">
      <columnFilter colId="7" id="{290109FD-AEC3-4457-B7ED-DBAC85F6E7CB}">
        <filter colId="7">
          <x:filters>
            <x:filter val="BHSL"/>
            <x:filter val="BHSM"/>
            <x:filter val="BKKA"/>
            <x:filter val="BKKB"/>
            <x:filter val="BKKC"/>
            <x:filter val="BKKE"/>
            <x:filter val="BKKF"/>
            <x:filter val="BKKG"/>
            <x:filter val="BKKH"/>
            <x:filter val="BKKI"/>
            <x:filter val="BKKJ"/>
            <x:filter val="BKKL"/>
            <x:filter val="BKKM"/>
            <x:filter val="BKKN"/>
            <x:filter val="BKKO"/>
            <x:filter val="BKKP"/>
            <x:filter val="BKKQ"/>
            <x:filter val="BLCH"/>
            <x:filter val="BLCI"/>
            <x:filter val="BLCJ"/>
            <x:filter val="BLCL"/>
            <x:filter val="BLCM"/>
            <x:filter val="BLCN"/>
            <x:filter val="BLCR"/>
            <x:filter val="BLCS"/>
          </x:filters>
        </filter>
      </columnFilter>
      <sortRules>
        <sortRule colId="1" id="{ECD4177E-7EF8-42FC-839D-7E2504321AF8}">
          <sortCondition ref="B1:B288"/>
        </sortRule>
      </sortRules>
    </nsvFilter>
  </namedSheetView>
  <namedSheetView name="View1" id="{E712D6DE-B247-4876-B58B-39AB5375D3E4}">
    <nsvFilter filterId="{FFE6D8B9-7C3F-40F9-A5A3-2592EFA15E4D}" ref="A1:R288" tableId="1">
      <columnFilter colId="7" id="{290109FD-AEC3-4457-B7ED-DBAC85F6E7CB}">
        <filter colId="7">
          <x:filters>
            <x:filter val="BHSL"/>
            <x:filter val="BHSM"/>
            <x:filter val="BHTH"/>
            <x:filter val="BHTI"/>
            <x:filter val="BKKA"/>
            <x:filter val="BKKB"/>
            <x:filter val="BKKC"/>
            <x:filter val="BKKD"/>
            <x:filter val="BKKE"/>
            <x:filter val="BKKF"/>
            <x:filter val="BKKG"/>
            <x:filter val="BKKH"/>
            <x:filter val="BKKI"/>
            <x:filter val="BKKJ"/>
            <x:filter val="BKKL"/>
            <x:filter val="BKKM"/>
            <x:filter val="BKKN"/>
            <x:filter val="BKKO"/>
            <x:filter val="BKKP"/>
            <x:filter val="BKKQ"/>
            <x:filter val="BLCH"/>
            <x:filter val="BLCI"/>
            <x:filter val="BLCJ"/>
            <x:filter val="BLCL"/>
            <x:filter val="BLCM"/>
            <x:filter val="BLCN"/>
            <x:filter val="BLCS"/>
          </x:filters>
        </filter>
      </columnFilter>
    </nsvFilter>
  </namedSheetView>
  <namedSheetView name="View2" id="{89E96A38-BCC2-40A8-9F86-7990273CE022}">
    <nsvFilter filterId="{FFE6D8B9-7C3F-40F9-A5A3-2592EFA15E4D}" ref="A1:R288" tableId="1">
      <columnFilter colId="1" id="{ECD4177E-7EF8-42FC-839D-7E2504321AF8}">
        <filter colId="1">
          <x:filters>
            <x:dateGroupItem year="2026" month="1" day="24" hour="20" dateTimeGrouping="hour"/>
            <x:dateGroupItem year="2026" month="1" day="24" hour="21" dateTimeGrouping="hour"/>
            <x:dateGroupItem year="2026" month="1" day="24" hour="22" dateTimeGrouping="hour"/>
            <x:dateGroupItem year="2026" month="1" day="24" hour="23" dateTimeGrouping="hour"/>
            <x:dateGroupItem year="2026" month="1" day="25" dateTimeGrouping="day"/>
          </x:filters>
        </filter>
      </columnFilter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000-000000000000}" autoFormatId="16" applyNumberFormats="0" applyBorderFormats="0" applyFontFormats="0" applyPatternFormats="0" applyAlignmentFormats="0" applyWidthHeightFormats="0">
  <queryTableRefresh nextId="93" unboundColumnsRight="8">
    <queryTableFields count="18">
      <queryTableField id="1" name="Flt. ID" tableColumnId="1"/>
      <queryTableField id="2" name="STA/STD" tableColumnId="2"/>
      <queryTableField id="3" name="ETA/ETD" tableColumnId="3"/>
      <queryTableField id="4" name="ATA/ATD" tableColumnId="4"/>
      <queryTableField id="5" name="O/D" tableColumnId="5"/>
      <queryTableField id="89" name="Column6" tableColumnId="6"/>
      <queryTableField id="90" name="Column7" tableColumnId="7"/>
      <queryTableField id="8" name="A/C" tableColumnId="8"/>
      <queryTableField id="9" name="Std" tableColumnId="9"/>
      <queryTableField id="10" name="Arr/ Dep" tableColumnId="10"/>
      <queryTableField id="12" dataBound="0" tableColumnId="12"/>
      <queryTableField id="11" dataBound="0" tableColumnId="11"/>
      <queryTableField id="23" dataBound="0" tableColumnId="16"/>
      <queryTableField id="13" dataBound="0" tableColumnId="13"/>
      <queryTableField id="17" dataBound="0" tableColumnId="14"/>
      <queryTableField id="20" dataBound="0" tableColumnId="15"/>
      <queryTableField id="26" dataBound="0" tableColumnId="19"/>
      <queryTableField id="25" dataBound="0" tableColumnId="18"/>
    </queryTableFields>
    <queryTableDeletedFields count="11">
      <deletedField name="Column7"/>
      <deletedField name="Column7"/>
      <deletedField name="Column7"/>
      <deletedField name="Column7"/>
      <deletedField name="Column6"/>
      <deletedField name="Column6"/>
      <deletedField name="Column7"/>
      <deletedField name="Column7"/>
      <deletedField name="Column6"/>
      <deletedField name="Column7"/>
      <deletedField name="Column6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200-000001000000}" autoFormatId="16" applyNumberFormats="0" applyBorderFormats="0" applyFontFormats="0" applyPatternFormats="0" applyAlignmentFormats="0" applyWidthHeightFormats="0">
  <queryTableRefresh nextId="16366" unboundColumnsRight="2">
    <queryTableFields count="10">
      <queryTableField id="6" name="A/C" tableColumnId="6"/>
      <queryTableField id="14" name="Inbound Flt" tableColumnId="1"/>
      <queryTableField id="8" name="Inbound Date" tableColumnId="8"/>
      <queryTableField id="15" name="Outbound Flt" tableColumnId="2"/>
      <queryTableField id="16" name="Outbound Date" tableColumnId="3"/>
      <queryTableField id="17" name="Project ID" tableColumnId="4"/>
      <queryTableField id="18" name="Pick Slip Number" tableColumnId="5"/>
      <queryTableField id="19" name="DWA date" tableColumnId="7"/>
      <queryTableField id="13" dataBound="0" tableColumnId="10"/>
      <queryTableField id="21" dataBound="0" tableColumnId="9"/>
    </queryTableFields>
    <queryTableDeletedFields count="16344"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30"/>
      <deletedField name="Column231"/>
      <deletedField name="Column232"/>
      <deletedField name="Column233"/>
      <deletedField name="Column234"/>
      <deletedField name="Column235"/>
      <deletedField name="Column236"/>
      <deletedField name="Column237"/>
      <deletedField name="Column238"/>
      <deletedField name="Column239"/>
      <deletedField name="Column240"/>
      <deletedField name="Column241"/>
      <deletedField name="Column242"/>
      <deletedField name="Column243"/>
      <deletedField name="Column244"/>
      <deletedField name="Column245"/>
      <deletedField name="Column246"/>
      <deletedField name="Column247"/>
      <deletedField name="Column248"/>
      <deletedField name="Column249"/>
      <deletedField name="Column250"/>
      <deletedField name="Column251"/>
      <deletedField name="Column252"/>
      <deletedField name="Column253"/>
      <deletedField name="Column254"/>
      <deletedField name="Column255"/>
      <deletedField name="Column256"/>
      <deletedField name="Column257"/>
      <deletedField name="Column258"/>
      <deletedField name="Column259"/>
      <deletedField name="Column260"/>
      <deletedField name="Column261"/>
      <deletedField name="Column262"/>
      <deletedField name="Column263"/>
      <deletedField name="Column264"/>
      <deletedField name="Column265"/>
      <deletedField name="Column266"/>
      <deletedField name="Column267"/>
      <deletedField name="Column268"/>
      <deletedField name="Column269"/>
      <deletedField name="Column270"/>
      <deletedField name="Column271"/>
      <deletedField name="Column272"/>
      <deletedField name="Column273"/>
      <deletedField name="Column274"/>
      <deletedField name="Column275"/>
      <deletedField name="Column276"/>
      <deletedField name="Column277"/>
      <deletedField name="Column278"/>
      <deletedField name="Column279"/>
      <deletedField name="Column280"/>
      <deletedField name="Column281"/>
      <deletedField name="Column282"/>
      <deletedField name="Column283"/>
      <deletedField name="Column284"/>
      <deletedField name="Column285"/>
      <deletedField name="Column286"/>
      <deletedField name="Column287"/>
      <deletedField name="Column288"/>
      <deletedField name="Column289"/>
      <deletedField name="Column290"/>
      <deletedField name="Column291"/>
      <deletedField name="Column292"/>
      <deletedField name="Column293"/>
      <deletedField name="Column294"/>
      <deletedField name="Column295"/>
      <deletedField name="Column296"/>
      <deletedField name="Column297"/>
      <deletedField name="Column298"/>
      <deletedField name="Column299"/>
      <deletedField name="Column300"/>
      <deletedField name="Column301"/>
      <deletedField name="Column302"/>
      <deletedField name="Column303"/>
      <deletedField name="Column304"/>
      <deletedField name="Column305"/>
      <deletedField name="Column306"/>
      <deletedField name="Column307"/>
      <deletedField name="Column308"/>
      <deletedField name="Column309"/>
      <deletedField name="Column310"/>
      <deletedField name="Column311"/>
      <deletedField name="Column312"/>
      <deletedField name="Column313"/>
      <deletedField name="Column314"/>
      <deletedField name="Column315"/>
      <deletedField name="Column316"/>
      <deletedField name="Column317"/>
      <deletedField name="Column318"/>
      <deletedField name="Column319"/>
      <deletedField name="Column320"/>
      <deletedField name="Column321"/>
      <deletedField name="Column322"/>
      <deletedField name="Column323"/>
      <deletedField name="Column324"/>
      <deletedField name="Column325"/>
      <deletedField name="Column326"/>
      <deletedField name="Column327"/>
      <deletedField name="Column328"/>
      <deletedField name="Column329"/>
      <deletedField name="Column330"/>
      <deletedField name="Column331"/>
      <deletedField name="Column332"/>
      <deletedField name="Column333"/>
      <deletedField name="Column334"/>
      <deletedField name="Column335"/>
      <deletedField name="Column336"/>
      <deletedField name="Column337"/>
      <deletedField name="Column338"/>
      <deletedField name="Column339"/>
      <deletedField name="Column340"/>
      <deletedField name="Column341"/>
      <deletedField name="Column342"/>
      <deletedField name="Column343"/>
      <deletedField name="Column344"/>
      <deletedField name="Column345"/>
      <deletedField name="Column346"/>
      <deletedField name="Column347"/>
      <deletedField name="Column348"/>
      <deletedField name="Column349"/>
      <deletedField name="Column350"/>
      <deletedField name="Column351"/>
      <deletedField name="Column352"/>
      <deletedField name="Column353"/>
      <deletedField name="Column354"/>
      <deletedField name="Column355"/>
      <deletedField name="Column356"/>
      <deletedField name="Column357"/>
      <deletedField name="Column358"/>
      <deletedField name="Column359"/>
      <deletedField name="Column360"/>
      <deletedField name="Column361"/>
      <deletedField name="Column362"/>
      <deletedField name="Column363"/>
      <deletedField name="Column364"/>
      <deletedField name="Column365"/>
      <deletedField name="Column366"/>
      <deletedField name="Column367"/>
      <deletedField name="Column368"/>
      <deletedField name="Column369"/>
      <deletedField name="Column370"/>
      <deletedField name="Column371"/>
      <deletedField name="Column372"/>
      <deletedField name="Column373"/>
      <deletedField name="Column374"/>
      <deletedField name="Column375"/>
      <deletedField name="Column376"/>
      <deletedField name="Column377"/>
      <deletedField name="Column378"/>
      <deletedField name="Column379"/>
      <deletedField name="Column380"/>
      <deletedField name="Column381"/>
      <deletedField name="Column382"/>
      <deletedField name="Column383"/>
      <deletedField name="Column384"/>
      <deletedField name="Column385"/>
      <deletedField name="Column386"/>
      <deletedField name="Column387"/>
      <deletedField name="Column388"/>
      <deletedField name="Column389"/>
      <deletedField name="Column390"/>
      <deletedField name="Column391"/>
      <deletedField name="Column392"/>
      <deletedField name="Column393"/>
      <deletedField name="Column394"/>
      <deletedField name="Column395"/>
      <deletedField name="Column396"/>
      <deletedField name="Column397"/>
      <deletedField name="Column398"/>
      <deletedField name="Column399"/>
      <deletedField name="Column400"/>
      <deletedField name="Column401"/>
      <deletedField name="Column402"/>
      <deletedField name="Column403"/>
      <deletedField name="Column404"/>
      <deletedField name="Column405"/>
      <deletedField name="Column406"/>
      <deletedField name="Column407"/>
      <deletedField name="Column408"/>
      <deletedField name="Column409"/>
      <deletedField name="Column410"/>
      <deletedField name="Column411"/>
      <deletedField name="Column412"/>
      <deletedField name="Column413"/>
      <deletedField name="Column414"/>
      <deletedField name="Column415"/>
      <deletedField name="Column416"/>
      <deletedField name="Column417"/>
      <deletedField name="Column418"/>
      <deletedField name="Column419"/>
      <deletedField name="Column420"/>
      <deletedField name="Column421"/>
      <deletedField name="Column422"/>
      <deletedField name="Column423"/>
      <deletedField name="Column424"/>
      <deletedField name="Column425"/>
      <deletedField name="Column426"/>
      <deletedField name="Column427"/>
      <deletedField name="Column428"/>
      <deletedField name="Column429"/>
      <deletedField name="Column430"/>
      <deletedField name="Column431"/>
      <deletedField name="Column432"/>
      <deletedField name="Column433"/>
      <deletedField name="Column434"/>
      <deletedField name="Column435"/>
      <deletedField name="Column436"/>
      <deletedField name="Column437"/>
      <deletedField name="Column438"/>
      <deletedField name="Column439"/>
      <deletedField name="Column440"/>
      <deletedField name="Column441"/>
      <deletedField name="Column442"/>
      <deletedField name="Column443"/>
      <deletedField name="Column444"/>
      <deletedField name="Column445"/>
      <deletedField name="Column446"/>
      <deletedField name="Column447"/>
      <deletedField name="Column448"/>
      <deletedField name="Column449"/>
      <deletedField name="Column450"/>
      <deletedField name="Column451"/>
      <deletedField name="Column452"/>
      <deletedField name="Column453"/>
      <deletedField name="Column454"/>
      <deletedField name="Column455"/>
      <deletedField name="Column456"/>
      <deletedField name="Column457"/>
      <deletedField name="Column458"/>
      <deletedField name="Column459"/>
      <deletedField name="Column460"/>
      <deletedField name="Column461"/>
      <deletedField name="Column462"/>
      <deletedField name="Column463"/>
      <deletedField name="Column464"/>
      <deletedField name="Column465"/>
      <deletedField name="Column466"/>
      <deletedField name="Column467"/>
      <deletedField name="Column468"/>
      <deletedField name="Column469"/>
      <deletedField name="Column470"/>
      <deletedField name="Column471"/>
      <deletedField name="Column472"/>
      <deletedField name="Column473"/>
      <deletedField name="Column474"/>
      <deletedField name="Column475"/>
      <deletedField name="Column476"/>
      <deletedField name="Column477"/>
      <deletedField name="Column478"/>
      <deletedField name="Column479"/>
      <deletedField name="Column480"/>
      <deletedField name="Column481"/>
      <deletedField name="Column482"/>
      <deletedField name="Column483"/>
      <deletedField name="Column484"/>
      <deletedField name="Column485"/>
      <deletedField name="Column486"/>
      <deletedField name="Column487"/>
      <deletedField name="Column488"/>
      <deletedField name="Column489"/>
      <deletedField name="Column490"/>
      <deletedField name="Column491"/>
      <deletedField name="Column492"/>
      <deletedField name="Column493"/>
      <deletedField name="Column494"/>
      <deletedField name="Column495"/>
      <deletedField name="Column496"/>
      <deletedField name="Column497"/>
      <deletedField name="Column498"/>
      <deletedField name="Column499"/>
      <deletedField name="Column500"/>
      <deletedField name="Column501"/>
      <deletedField name="Column502"/>
      <deletedField name="Column503"/>
      <deletedField name="Column504"/>
      <deletedField name="Column505"/>
      <deletedField name="Column506"/>
      <deletedField name="Column507"/>
      <deletedField name="Column508"/>
      <deletedField name="Column509"/>
      <deletedField name="Column510"/>
      <deletedField name="Column511"/>
      <deletedField name="Column512"/>
      <deletedField name="Column513"/>
      <deletedField name="Column514"/>
      <deletedField name="Column515"/>
      <deletedField name="Column516"/>
      <deletedField name="Column517"/>
      <deletedField name="Column518"/>
      <deletedField name="Column519"/>
      <deletedField name="Column520"/>
      <deletedField name="Column521"/>
      <deletedField name="Column522"/>
      <deletedField name="Column523"/>
      <deletedField name="Column524"/>
      <deletedField name="Column525"/>
      <deletedField name="Column526"/>
      <deletedField name="Column527"/>
      <deletedField name="Column528"/>
      <deletedField name="Column529"/>
      <deletedField name="Column530"/>
      <deletedField name="Column531"/>
      <deletedField name="Column532"/>
      <deletedField name="Column533"/>
      <deletedField name="Column534"/>
      <deletedField name="Column535"/>
      <deletedField name="Column536"/>
      <deletedField name="Column537"/>
      <deletedField name="Column538"/>
      <deletedField name="Column539"/>
      <deletedField name="Column540"/>
      <deletedField name="Column541"/>
      <deletedField name="Column542"/>
      <deletedField name="Column543"/>
      <deletedField name="Column544"/>
      <deletedField name="Column545"/>
      <deletedField name="Column546"/>
      <deletedField name="Column547"/>
      <deletedField name="Column548"/>
      <deletedField name="Column549"/>
      <deletedField name="Column550"/>
      <deletedField name="Column551"/>
      <deletedField name="Column552"/>
      <deletedField name="Column553"/>
      <deletedField name="Column554"/>
      <deletedField name="Column555"/>
      <deletedField name="Column556"/>
      <deletedField name="Column557"/>
      <deletedField name="Column558"/>
      <deletedField name="Column559"/>
      <deletedField name="Column560"/>
      <deletedField name="Column561"/>
      <deletedField name="Column562"/>
      <deletedField name="Column563"/>
      <deletedField name="Column564"/>
      <deletedField name="Column565"/>
      <deletedField name="Column566"/>
      <deletedField name="Column567"/>
      <deletedField name="Column568"/>
      <deletedField name="Column569"/>
      <deletedField name="Column570"/>
      <deletedField name="Column571"/>
      <deletedField name="Column572"/>
      <deletedField name="Column573"/>
      <deletedField name="Column574"/>
      <deletedField name="Column575"/>
      <deletedField name="Column576"/>
      <deletedField name="Column577"/>
      <deletedField name="Column578"/>
      <deletedField name="Column579"/>
      <deletedField name="Column580"/>
      <deletedField name="Column581"/>
      <deletedField name="Column582"/>
      <deletedField name="Column583"/>
      <deletedField name="Column584"/>
      <deletedField name="Column585"/>
      <deletedField name="Column586"/>
      <deletedField name="Column587"/>
      <deletedField name="Column588"/>
      <deletedField name="Column589"/>
      <deletedField name="Column590"/>
      <deletedField name="Column591"/>
      <deletedField name="Column592"/>
      <deletedField name="Column593"/>
      <deletedField name="Column594"/>
      <deletedField name="Column595"/>
      <deletedField name="Column596"/>
      <deletedField name="Column597"/>
      <deletedField name="Column598"/>
      <deletedField name="Column599"/>
      <deletedField name="Column600"/>
      <deletedField name="Column601"/>
      <deletedField name="Column602"/>
      <deletedField name="Column603"/>
      <deletedField name="Column604"/>
      <deletedField name="Column605"/>
      <deletedField name="Column606"/>
      <deletedField name="Column607"/>
      <deletedField name="Column608"/>
      <deletedField name="Column609"/>
      <deletedField name="Column610"/>
      <deletedField name="Column611"/>
      <deletedField name="Column612"/>
      <deletedField name="Column613"/>
      <deletedField name="Column614"/>
      <deletedField name="Column615"/>
      <deletedField name="Column616"/>
      <deletedField name="Column617"/>
      <deletedField name="Column618"/>
      <deletedField name="Column619"/>
      <deletedField name="Column620"/>
      <deletedField name="Column621"/>
      <deletedField name="Column622"/>
      <deletedField name="Column623"/>
      <deletedField name="Column624"/>
      <deletedField name="Column625"/>
      <deletedField name="Column626"/>
      <deletedField name="Column627"/>
      <deletedField name="Column628"/>
      <deletedField name="Column629"/>
      <deletedField name="Column630"/>
      <deletedField name="Column631"/>
      <deletedField name="Column632"/>
      <deletedField name="Column633"/>
      <deletedField name="Column634"/>
      <deletedField name="Column635"/>
      <deletedField name="Column636"/>
      <deletedField name="Column637"/>
      <deletedField name="Column638"/>
      <deletedField name="Column639"/>
      <deletedField name="Column640"/>
      <deletedField name="Column641"/>
      <deletedField name="Column642"/>
      <deletedField name="Column643"/>
      <deletedField name="Column644"/>
      <deletedField name="Column645"/>
      <deletedField name="Column646"/>
      <deletedField name="Column647"/>
      <deletedField name="Column648"/>
      <deletedField name="Column649"/>
      <deletedField name="Column650"/>
      <deletedField name="Column651"/>
      <deletedField name="Column652"/>
      <deletedField name="Column653"/>
      <deletedField name="Column654"/>
      <deletedField name="Column655"/>
      <deletedField name="Column656"/>
      <deletedField name="Column657"/>
      <deletedField name="Column658"/>
      <deletedField name="Column659"/>
      <deletedField name="Column660"/>
      <deletedField name="Column661"/>
      <deletedField name="Column662"/>
      <deletedField name="Column663"/>
      <deletedField name="Column664"/>
      <deletedField name="Column665"/>
      <deletedField name="Column666"/>
      <deletedField name="Column667"/>
      <deletedField name="Column668"/>
      <deletedField name="Column669"/>
      <deletedField name="Column670"/>
      <deletedField name="Column671"/>
      <deletedField name="Column672"/>
      <deletedField name="Column673"/>
      <deletedField name="Column674"/>
      <deletedField name="Column675"/>
      <deletedField name="Column676"/>
      <deletedField name="Column677"/>
      <deletedField name="Column678"/>
      <deletedField name="Column679"/>
      <deletedField name="Column680"/>
      <deletedField name="Column681"/>
      <deletedField name="Column682"/>
      <deletedField name="Column683"/>
      <deletedField name="Column684"/>
      <deletedField name="Column685"/>
      <deletedField name="Column686"/>
      <deletedField name="Column687"/>
      <deletedField name="Column688"/>
      <deletedField name="Column689"/>
      <deletedField name="Column690"/>
      <deletedField name="Column691"/>
      <deletedField name="Column692"/>
      <deletedField name="Column693"/>
      <deletedField name="Column694"/>
      <deletedField name="Column695"/>
      <deletedField name="Column696"/>
      <deletedField name="Column697"/>
      <deletedField name="Column698"/>
      <deletedField name="Column699"/>
      <deletedField name="Column700"/>
      <deletedField name="Column701"/>
      <deletedField name="Column702"/>
      <deletedField name="Column703"/>
      <deletedField name="Column704"/>
      <deletedField name="Column705"/>
      <deletedField name="Column706"/>
      <deletedField name="Column707"/>
      <deletedField name="Column708"/>
      <deletedField name="Column709"/>
      <deletedField name="Column710"/>
      <deletedField name="Column711"/>
      <deletedField name="Column712"/>
      <deletedField name="Column713"/>
      <deletedField name="Column714"/>
      <deletedField name="Column715"/>
      <deletedField name="Column716"/>
      <deletedField name="Column717"/>
      <deletedField name="Column718"/>
      <deletedField name="Column719"/>
      <deletedField name="Column720"/>
      <deletedField name="Column721"/>
      <deletedField name="Column722"/>
      <deletedField name="Column723"/>
      <deletedField name="Column724"/>
      <deletedField name="Column725"/>
      <deletedField name="Column726"/>
      <deletedField name="Column727"/>
      <deletedField name="Column728"/>
      <deletedField name="Column729"/>
      <deletedField name="Column730"/>
      <deletedField name="Column731"/>
      <deletedField name="Column732"/>
      <deletedField name="Column733"/>
      <deletedField name="Column734"/>
      <deletedField name="Column735"/>
      <deletedField name="Column736"/>
      <deletedField name="Column737"/>
      <deletedField name="Column738"/>
      <deletedField name="Column739"/>
      <deletedField name="Column740"/>
      <deletedField name="Column741"/>
      <deletedField name="Column742"/>
      <deletedField name="Column743"/>
      <deletedField name="Column744"/>
      <deletedField name="Column745"/>
      <deletedField name="Column746"/>
      <deletedField name="Column747"/>
      <deletedField name="Column748"/>
      <deletedField name="Column749"/>
      <deletedField name="Column750"/>
      <deletedField name="Column751"/>
      <deletedField name="Column752"/>
      <deletedField name="Column753"/>
      <deletedField name="Column754"/>
      <deletedField name="Column755"/>
      <deletedField name="Column756"/>
      <deletedField name="Column757"/>
      <deletedField name="Column758"/>
      <deletedField name="Column759"/>
      <deletedField name="Column760"/>
      <deletedField name="Column761"/>
      <deletedField name="Column762"/>
      <deletedField name="Column763"/>
      <deletedField name="Column764"/>
      <deletedField name="Column765"/>
      <deletedField name="Column766"/>
      <deletedField name="Column767"/>
      <deletedField name="Column768"/>
      <deletedField name="Column769"/>
      <deletedField name="Column770"/>
      <deletedField name="Column771"/>
      <deletedField name="Column772"/>
      <deletedField name="Column773"/>
      <deletedField name="Column774"/>
      <deletedField name="Column775"/>
      <deletedField name="Column776"/>
      <deletedField name="Column777"/>
      <deletedField name="Column778"/>
      <deletedField name="Column779"/>
      <deletedField name="Column780"/>
      <deletedField name="Column781"/>
      <deletedField name="Column782"/>
      <deletedField name="Column783"/>
      <deletedField name="Column784"/>
      <deletedField name="Column785"/>
      <deletedField name="Column786"/>
      <deletedField name="Column787"/>
      <deletedField name="Column788"/>
      <deletedField name="Column789"/>
      <deletedField name="Column790"/>
      <deletedField name="Column791"/>
      <deletedField name="Column792"/>
      <deletedField name="Column793"/>
      <deletedField name="Column794"/>
      <deletedField name="Column795"/>
      <deletedField name="Column796"/>
      <deletedField name="Column797"/>
      <deletedField name="Column798"/>
      <deletedField name="Column799"/>
      <deletedField name="Column800"/>
      <deletedField name="Column801"/>
      <deletedField name="Column802"/>
      <deletedField name="Column803"/>
      <deletedField name="Column804"/>
      <deletedField name="Column805"/>
      <deletedField name="Column806"/>
      <deletedField name="Column807"/>
      <deletedField name="Column808"/>
      <deletedField name="Column809"/>
      <deletedField name="Column810"/>
      <deletedField name="Column811"/>
      <deletedField name="Column812"/>
      <deletedField name="Column813"/>
      <deletedField name="Column814"/>
      <deletedField name="Column815"/>
      <deletedField name="Column816"/>
      <deletedField name="Column817"/>
      <deletedField name="Column818"/>
      <deletedField name="Column819"/>
      <deletedField name="Column820"/>
      <deletedField name="Column821"/>
      <deletedField name="Column822"/>
      <deletedField name="Column823"/>
      <deletedField name="Column824"/>
      <deletedField name="Column825"/>
      <deletedField name="Column826"/>
      <deletedField name="Column827"/>
      <deletedField name="Column828"/>
      <deletedField name="Column829"/>
      <deletedField name="Column830"/>
      <deletedField name="Column831"/>
      <deletedField name="Column832"/>
      <deletedField name="Column833"/>
      <deletedField name="Column834"/>
      <deletedField name="Column835"/>
      <deletedField name="Column836"/>
      <deletedField name="Column837"/>
      <deletedField name="Column838"/>
      <deletedField name="Column839"/>
      <deletedField name="Column840"/>
      <deletedField name="Column841"/>
      <deletedField name="Column842"/>
      <deletedField name="Column843"/>
      <deletedField name="Column844"/>
      <deletedField name="Column845"/>
      <deletedField name="Column846"/>
      <deletedField name="Column847"/>
      <deletedField name="Column848"/>
      <deletedField name="Column849"/>
      <deletedField name="Column850"/>
      <deletedField name="Column851"/>
      <deletedField name="Column852"/>
      <deletedField name="Column853"/>
      <deletedField name="Column854"/>
      <deletedField name="Column855"/>
      <deletedField name="Column856"/>
      <deletedField name="Column857"/>
      <deletedField name="Column858"/>
      <deletedField name="Column859"/>
      <deletedField name="Column860"/>
      <deletedField name="Column861"/>
      <deletedField name="Column862"/>
      <deletedField name="Column863"/>
      <deletedField name="Column864"/>
      <deletedField name="Column865"/>
      <deletedField name="Column866"/>
      <deletedField name="Column867"/>
      <deletedField name="Column868"/>
      <deletedField name="Column869"/>
      <deletedField name="Column870"/>
      <deletedField name="Column871"/>
      <deletedField name="Column872"/>
      <deletedField name="Column873"/>
      <deletedField name="Column874"/>
      <deletedField name="Column875"/>
      <deletedField name="Column876"/>
      <deletedField name="Column877"/>
      <deletedField name="Column878"/>
      <deletedField name="Column879"/>
      <deletedField name="Column880"/>
      <deletedField name="Column881"/>
      <deletedField name="Column882"/>
      <deletedField name="Column883"/>
      <deletedField name="Column884"/>
      <deletedField name="Column885"/>
      <deletedField name="Column886"/>
      <deletedField name="Column887"/>
      <deletedField name="Column888"/>
      <deletedField name="Column889"/>
      <deletedField name="Column890"/>
      <deletedField name="Column891"/>
      <deletedField name="Column892"/>
      <deletedField name="Column893"/>
      <deletedField name="Column894"/>
      <deletedField name="Column895"/>
      <deletedField name="Column896"/>
      <deletedField name="Column897"/>
      <deletedField name="Column898"/>
      <deletedField name="Column899"/>
      <deletedField name="Column900"/>
      <deletedField name="Column901"/>
      <deletedField name="Column902"/>
      <deletedField name="Column903"/>
      <deletedField name="Column904"/>
      <deletedField name="Column905"/>
      <deletedField name="Column906"/>
      <deletedField name="Column907"/>
      <deletedField name="Column908"/>
      <deletedField name="Column909"/>
      <deletedField name="Column910"/>
      <deletedField name="Column911"/>
      <deletedField name="Column912"/>
      <deletedField name="Column913"/>
      <deletedField name="Column914"/>
      <deletedField name="Column915"/>
      <deletedField name="Column916"/>
      <deletedField name="Column917"/>
      <deletedField name="Column918"/>
      <deletedField name="Column919"/>
      <deletedField name="Column920"/>
      <deletedField name="Column921"/>
      <deletedField name="Column922"/>
      <deletedField name="Column923"/>
      <deletedField name="Column924"/>
      <deletedField name="Column925"/>
      <deletedField name="Column926"/>
      <deletedField name="Column927"/>
      <deletedField name="Column928"/>
      <deletedField name="Column929"/>
      <deletedField name="Column930"/>
      <deletedField name="Column931"/>
      <deletedField name="Column932"/>
      <deletedField name="Column933"/>
      <deletedField name="Column934"/>
      <deletedField name="Column935"/>
      <deletedField name="Column936"/>
      <deletedField name="Column937"/>
      <deletedField name="Column938"/>
      <deletedField name="Column939"/>
      <deletedField name="Column940"/>
      <deletedField name="Column941"/>
      <deletedField name="Column942"/>
      <deletedField name="Column943"/>
      <deletedField name="Column944"/>
      <deletedField name="Column945"/>
      <deletedField name="Column946"/>
      <deletedField name="Column947"/>
      <deletedField name="Column948"/>
      <deletedField name="Column949"/>
      <deletedField name="Column950"/>
      <deletedField name="Column951"/>
      <deletedField name="Column952"/>
      <deletedField name="Column953"/>
      <deletedField name="Column954"/>
      <deletedField name="Column955"/>
      <deletedField name="Column956"/>
      <deletedField name="Column957"/>
      <deletedField name="Column958"/>
      <deletedField name="Column959"/>
      <deletedField name="Column960"/>
      <deletedField name="Column961"/>
      <deletedField name="Column962"/>
      <deletedField name="Column963"/>
      <deletedField name="Column964"/>
      <deletedField name="Column965"/>
      <deletedField name="Column966"/>
      <deletedField name="Column967"/>
      <deletedField name="Column968"/>
      <deletedField name="Column969"/>
      <deletedField name="Column970"/>
      <deletedField name="Column971"/>
      <deletedField name="Column972"/>
      <deletedField name="Column973"/>
      <deletedField name="Column974"/>
      <deletedField name="Column975"/>
      <deletedField name="Column976"/>
      <deletedField name="Column977"/>
      <deletedField name="Column978"/>
      <deletedField name="Column979"/>
      <deletedField name="Column980"/>
      <deletedField name="Column981"/>
      <deletedField name="Column982"/>
      <deletedField name="Column983"/>
      <deletedField name="Column984"/>
      <deletedField name="Column985"/>
      <deletedField name="Column986"/>
      <deletedField name="Column987"/>
      <deletedField name="Column988"/>
      <deletedField name="Column989"/>
      <deletedField name="Column990"/>
      <deletedField name="Column991"/>
      <deletedField name="Column992"/>
      <deletedField name="Column993"/>
      <deletedField name="Column994"/>
      <deletedField name="Column995"/>
      <deletedField name="Column996"/>
      <deletedField name="Column997"/>
      <deletedField name="Column998"/>
      <deletedField name="Column999"/>
      <deletedField name="Column1000"/>
      <deletedField name="Column1001"/>
      <deletedField name="Column1002"/>
      <deletedField name="Column1003"/>
      <deletedField name="Column1004"/>
      <deletedField name="Column1005"/>
      <deletedField name="Column1006"/>
      <deletedField name="Column1007"/>
      <deletedField name="Column1008"/>
      <deletedField name="Column1009"/>
      <deletedField name="Column1010"/>
      <deletedField name="Column1011"/>
      <deletedField name="Column1012"/>
      <deletedField name="Column1013"/>
      <deletedField name="Column1014"/>
      <deletedField name="Column1015"/>
      <deletedField name="Column1016"/>
      <deletedField name="Column1017"/>
      <deletedField name="Column1018"/>
      <deletedField name="Column1019"/>
      <deletedField name="Column1020"/>
      <deletedField name="Column1021"/>
      <deletedField name="Column1022"/>
      <deletedField name="Column1023"/>
      <deletedField name="Column1024"/>
      <deletedField name="Column1025"/>
      <deletedField name="Column1026"/>
      <deletedField name="Column1027"/>
      <deletedField name="Column1028"/>
      <deletedField name="Column1029"/>
      <deletedField name="Column1030"/>
      <deletedField name="Column1031"/>
      <deletedField name="Column1032"/>
      <deletedField name="Column1033"/>
      <deletedField name="Column1034"/>
      <deletedField name="Column1035"/>
      <deletedField name="Column1036"/>
      <deletedField name="Column1037"/>
      <deletedField name="Column1038"/>
      <deletedField name="Column1039"/>
      <deletedField name="Column1040"/>
      <deletedField name="Column1041"/>
      <deletedField name="Column1042"/>
      <deletedField name="Column1043"/>
      <deletedField name="Column1044"/>
      <deletedField name="Column1045"/>
      <deletedField name="Column1046"/>
      <deletedField name="Column1047"/>
      <deletedField name="Column1048"/>
      <deletedField name="Column1049"/>
      <deletedField name="Column1050"/>
      <deletedField name="Column1051"/>
      <deletedField name="Column1052"/>
      <deletedField name="Column1053"/>
      <deletedField name="Column1054"/>
      <deletedField name="Column1055"/>
      <deletedField name="Column1056"/>
      <deletedField name="Column1057"/>
      <deletedField name="Column1058"/>
      <deletedField name="Column1059"/>
      <deletedField name="Column1060"/>
      <deletedField name="Column1061"/>
      <deletedField name="Column1062"/>
      <deletedField name="Column1063"/>
      <deletedField name="Column1064"/>
      <deletedField name="Column1065"/>
      <deletedField name="Column1066"/>
      <deletedField name="Column1067"/>
      <deletedField name="Column1068"/>
      <deletedField name="Column1069"/>
      <deletedField name="Column1070"/>
      <deletedField name="Column1071"/>
      <deletedField name="Column1072"/>
      <deletedField name="Column1073"/>
      <deletedField name="Column1074"/>
      <deletedField name="Column1075"/>
      <deletedField name="Column1076"/>
      <deletedField name="Column1077"/>
      <deletedField name="Column1078"/>
      <deletedField name="Column1079"/>
      <deletedField name="Column1080"/>
      <deletedField name="Column1081"/>
      <deletedField name="Column1082"/>
      <deletedField name="Column1083"/>
      <deletedField name="Column1084"/>
      <deletedField name="Column1085"/>
      <deletedField name="Column1086"/>
      <deletedField name="Column1087"/>
      <deletedField name="Column1088"/>
      <deletedField name="Column1089"/>
      <deletedField name="Column1090"/>
      <deletedField name="Column1091"/>
      <deletedField name="Column1092"/>
      <deletedField name="Column1093"/>
      <deletedField name="Column1094"/>
      <deletedField name="Column1095"/>
      <deletedField name="Column1096"/>
      <deletedField name="Column1097"/>
      <deletedField name="Column1098"/>
      <deletedField name="Column1099"/>
      <deletedField name="Column1100"/>
      <deletedField name="Column1101"/>
      <deletedField name="Column1102"/>
      <deletedField name="Column1103"/>
      <deletedField name="Column1104"/>
      <deletedField name="Column1105"/>
      <deletedField name="Column1106"/>
      <deletedField name="Column1107"/>
      <deletedField name="Column1108"/>
      <deletedField name="Column1109"/>
      <deletedField name="Column1110"/>
      <deletedField name="Column1111"/>
      <deletedField name="Column1112"/>
      <deletedField name="Column1113"/>
      <deletedField name="Column1114"/>
      <deletedField name="Column1115"/>
      <deletedField name="Column1116"/>
      <deletedField name="Column1117"/>
      <deletedField name="Column1118"/>
      <deletedField name="Column1119"/>
      <deletedField name="Column1120"/>
      <deletedField name="Column1121"/>
      <deletedField name="Column1122"/>
      <deletedField name="Column1123"/>
      <deletedField name="Column1124"/>
      <deletedField name="Column1125"/>
      <deletedField name="Column1126"/>
      <deletedField name="Column1127"/>
      <deletedField name="Column1128"/>
      <deletedField name="Column1129"/>
      <deletedField name="Column1130"/>
      <deletedField name="Column1131"/>
      <deletedField name="Column1132"/>
      <deletedField name="Column1133"/>
      <deletedField name="Column1134"/>
      <deletedField name="Column1135"/>
      <deletedField name="Column1136"/>
      <deletedField name="Column1137"/>
      <deletedField name="Column1138"/>
      <deletedField name="Column1139"/>
      <deletedField name="Column1140"/>
      <deletedField name="Column1141"/>
      <deletedField name="Column1142"/>
      <deletedField name="Column1143"/>
      <deletedField name="Column1144"/>
      <deletedField name="Column1145"/>
      <deletedField name="Column1146"/>
      <deletedField name="Column1147"/>
      <deletedField name="Column1148"/>
      <deletedField name="Column1149"/>
      <deletedField name="Column1150"/>
      <deletedField name="Column1151"/>
      <deletedField name="Column1152"/>
      <deletedField name="Column1153"/>
      <deletedField name="Column1154"/>
      <deletedField name="Column1155"/>
      <deletedField name="Column1156"/>
      <deletedField name="Column1157"/>
      <deletedField name="Column1158"/>
      <deletedField name="Column1159"/>
      <deletedField name="Column1160"/>
      <deletedField name="Column1161"/>
      <deletedField name="Column1162"/>
      <deletedField name="Column1163"/>
      <deletedField name="Column1164"/>
      <deletedField name="Column1165"/>
      <deletedField name="Column1166"/>
      <deletedField name="Column1167"/>
      <deletedField name="Column1168"/>
      <deletedField name="Column1169"/>
      <deletedField name="Column1170"/>
      <deletedField name="Column1171"/>
      <deletedField name="Column1172"/>
      <deletedField name="Column1173"/>
      <deletedField name="Column1174"/>
      <deletedField name="Column1175"/>
      <deletedField name="Column1176"/>
      <deletedField name="Column1177"/>
      <deletedField name="Column1178"/>
      <deletedField name="Column1179"/>
      <deletedField name="Column1180"/>
      <deletedField name="Column1181"/>
      <deletedField name="Column1182"/>
      <deletedField name="Column1183"/>
      <deletedField name="Column1184"/>
      <deletedField name="Column1185"/>
      <deletedField name="Column1186"/>
      <deletedField name="Column1187"/>
      <deletedField name="Column1188"/>
      <deletedField name="Column1189"/>
      <deletedField name="Column1190"/>
      <deletedField name="Column1191"/>
      <deletedField name="Column1192"/>
      <deletedField name="Column1193"/>
      <deletedField name="Column1194"/>
      <deletedField name="Column1195"/>
      <deletedField name="Column1196"/>
      <deletedField name="Column1197"/>
      <deletedField name="Column1198"/>
      <deletedField name="Column1199"/>
      <deletedField name="Column1200"/>
      <deletedField name="Column1201"/>
      <deletedField name="Column1202"/>
      <deletedField name="Column1203"/>
      <deletedField name="Column1204"/>
      <deletedField name="Column1205"/>
      <deletedField name="Column1206"/>
      <deletedField name="Column1207"/>
      <deletedField name="Column1208"/>
      <deletedField name="Column1209"/>
      <deletedField name="Column1210"/>
      <deletedField name="Column1211"/>
      <deletedField name="Column1212"/>
      <deletedField name="Column1213"/>
      <deletedField name="Column1214"/>
      <deletedField name="Column1215"/>
      <deletedField name="Column1216"/>
      <deletedField name="Column1217"/>
      <deletedField name="Column1218"/>
      <deletedField name="Column1219"/>
      <deletedField name="Column1220"/>
      <deletedField name="Column1221"/>
      <deletedField name="Column1222"/>
      <deletedField name="Column1223"/>
      <deletedField name="Column1224"/>
      <deletedField name="Column1225"/>
      <deletedField name="Column1226"/>
      <deletedField name="Column1227"/>
      <deletedField name="Column1228"/>
      <deletedField name="Column1229"/>
      <deletedField name="Column1230"/>
      <deletedField name="Column1231"/>
      <deletedField name="Column1232"/>
      <deletedField name="Column1233"/>
      <deletedField name="Column1234"/>
      <deletedField name="Column1235"/>
      <deletedField name="Column1236"/>
      <deletedField name="Column1237"/>
      <deletedField name="Column1238"/>
      <deletedField name="Column1239"/>
      <deletedField name="Column1240"/>
      <deletedField name="Column1241"/>
      <deletedField name="Column1242"/>
      <deletedField name="Column1243"/>
      <deletedField name="Column1244"/>
      <deletedField name="Column1245"/>
      <deletedField name="Column1246"/>
      <deletedField name="Column1247"/>
      <deletedField name="Column1248"/>
      <deletedField name="Column1249"/>
      <deletedField name="Column1250"/>
      <deletedField name="Column1251"/>
      <deletedField name="Column1252"/>
      <deletedField name="Column1253"/>
      <deletedField name="Column1254"/>
      <deletedField name="Column1255"/>
      <deletedField name="Column1256"/>
      <deletedField name="Column1257"/>
      <deletedField name="Column1258"/>
      <deletedField name="Column1259"/>
      <deletedField name="Column1260"/>
      <deletedField name="Column1261"/>
      <deletedField name="Column1262"/>
      <deletedField name="Column1263"/>
      <deletedField name="Column1264"/>
      <deletedField name="Column1265"/>
      <deletedField name="Column1266"/>
      <deletedField name="Column1267"/>
      <deletedField name="Column1268"/>
      <deletedField name="Column1269"/>
      <deletedField name="Column1270"/>
      <deletedField name="Column1271"/>
      <deletedField name="Column1272"/>
      <deletedField name="Column1273"/>
      <deletedField name="Column1274"/>
      <deletedField name="Column1275"/>
      <deletedField name="Column1276"/>
      <deletedField name="Column1277"/>
      <deletedField name="Column1278"/>
      <deletedField name="Column1279"/>
      <deletedField name="Column1280"/>
      <deletedField name="Column1281"/>
      <deletedField name="Column1282"/>
      <deletedField name="Column1283"/>
      <deletedField name="Column1284"/>
      <deletedField name="Column1285"/>
      <deletedField name="Column1286"/>
      <deletedField name="Column1287"/>
      <deletedField name="Column1288"/>
      <deletedField name="Column1289"/>
      <deletedField name="Column1290"/>
      <deletedField name="Column1291"/>
      <deletedField name="Column1292"/>
      <deletedField name="Column1293"/>
      <deletedField name="Column1294"/>
      <deletedField name="Column1295"/>
      <deletedField name="Column1296"/>
      <deletedField name="Column1297"/>
      <deletedField name="Column1298"/>
      <deletedField name="Column1299"/>
      <deletedField name="Column1300"/>
      <deletedField name="Column1301"/>
      <deletedField name="Column1302"/>
      <deletedField name="Column1303"/>
      <deletedField name="Column1304"/>
      <deletedField name="Column1305"/>
      <deletedField name="Column1306"/>
      <deletedField name="Column1307"/>
      <deletedField name="Column1308"/>
      <deletedField name="Column1309"/>
      <deletedField name="Column1310"/>
      <deletedField name="Column1311"/>
      <deletedField name="Column1312"/>
      <deletedField name="Column1313"/>
      <deletedField name="Column1314"/>
      <deletedField name="Column1315"/>
      <deletedField name="Column1316"/>
      <deletedField name="Column1317"/>
      <deletedField name="Column1318"/>
      <deletedField name="Column1319"/>
      <deletedField name="Column1320"/>
      <deletedField name="Column1321"/>
      <deletedField name="Column1322"/>
      <deletedField name="Column1323"/>
      <deletedField name="Column1324"/>
      <deletedField name="Column1325"/>
      <deletedField name="Column1326"/>
      <deletedField name="Column1327"/>
      <deletedField name="Column1328"/>
      <deletedField name="Column1329"/>
      <deletedField name="Column1330"/>
      <deletedField name="Column1331"/>
      <deletedField name="Column1332"/>
      <deletedField name="Column1333"/>
      <deletedField name="Column1334"/>
      <deletedField name="Column1335"/>
      <deletedField name="Column1336"/>
      <deletedField name="Column1337"/>
      <deletedField name="Column1338"/>
      <deletedField name="Column1339"/>
      <deletedField name="Column1340"/>
      <deletedField name="Column1341"/>
      <deletedField name="Column1342"/>
      <deletedField name="Column1343"/>
      <deletedField name="Column1344"/>
      <deletedField name="Column1345"/>
      <deletedField name="Column1346"/>
      <deletedField name="Column1347"/>
      <deletedField name="Column1348"/>
      <deletedField name="Column1349"/>
      <deletedField name="Column1350"/>
      <deletedField name="Column1351"/>
      <deletedField name="Column1352"/>
      <deletedField name="Column1353"/>
      <deletedField name="Column1354"/>
      <deletedField name="Column1355"/>
      <deletedField name="Column1356"/>
      <deletedField name="Column1357"/>
      <deletedField name="Column1358"/>
      <deletedField name="Column1359"/>
      <deletedField name="Column1360"/>
      <deletedField name="Column1361"/>
      <deletedField name="Column1362"/>
      <deletedField name="Column1363"/>
      <deletedField name="Column1364"/>
      <deletedField name="Column1365"/>
      <deletedField name="Column1366"/>
      <deletedField name="Column1367"/>
      <deletedField name="Column1368"/>
      <deletedField name="Column1369"/>
      <deletedField name="Column1370"/>
      <deletedField name="Column1371"/>
      <deletedField name="Column1372"/>
      <deletedField name="Column1373"/>
      <deletedField name="Column1374"/>
      <deletedField name="Column1375"/>
      <deletedField name="Column1376"/>
      <deletedField name="Column1377"/>
      <deletedField name="Column1378"/>
      <deletedField name="Column1379"/>
      <deletedField name="Column1380"/>
      <deletedField name="Column1381"/>
      <deletedField name="Column1382"/>
      <deletedField name="Column1383"/>
      <deletedField name="Column1384"/>
      <deletedField name="Column1385"/>
      <deletedField name="Column1386"/>
      <deletedField name="Column1387"/>
      <deletedField name="Column1388"/>
      <deletedField name="Column1389"/>
      <deletedField name="Column1390"/>
      <deletedField name="Column1391"/>
      <deletedField name="Column1392"/>
      <deletedField name="Column1393"/>
      <deletedField name="Column1394"/>
      <deletedField name="Column1395"/>
      <deletedField name="Column1396"/>
      <deletedField name="Column1397"/>
      <deletedField name="Column1398"/>
      <deletedField name="Column1399"/>
      <deletedField name="Column1400"/>
      <deletedField name="Column1401"/>
      <deletedField name="Column1402"/>
      <deletedField name="Column1403"/>
      <deletedField name="Column1404"/>
      <deletedField name="Column1405"/>
      <deletedField name="Column1406"/>
      <deletedField name="Column1407"/>
      <deletedField name="Column1408"/>
      <deletedField name="Column1409"/>
      <deletedField name="Column1410"/>
      <deletedField name="Column1411"/>
      <deletedField name="Column1412"/>
      <deletedField name="Column1413"/>
      <deletedField name="Column1414"/>
      <deletedField name="Column1415"/>
      <deletedField name="Column1416"/>
      <deletedField name="Column1417"/>
      <deletedField name="Column1418"/>
      <deletedField name="Column1419"/>
      <deletedField name="Column1420"/>
      <deletedField name="Column1421"/>
      <deletedField name="Column1422"/>
      <deletedField name="Column1423"/>
      <deletedField name="Column1424"/>
      <deletedField name="Column1425"/>
      <deletedField name="Column1426"/>
      <deletedField name="Column1427"/>
      <deletedField name="Column1428"/>
      <deletedField name="Column1429"/>
      <deletedField name="Column1430"/>
      <deletedField name="Column1431"/>
      <deletedField name="Column1432"/>
      <deletedField name="Column1433"/>
      <deletedField name="Column1434"/>
      <deletedField name="Column1435"/>
      <deletedField name="Column1436"/>
      <deletedField name="Column1437"/>
      <deletedField name="Column1438"/>
      <deletedField name="Column1439"/>
      <deletedField name="Column1440"/>
      <deletedField name="Column1441"/>
      <deletedField name="Column1442"/>
      <deletedField name="Column1443"/>
      <deletedField name="Column1444"/>
      <deletedField name="Column1445"/>
      <deletedField name="Column1446"/>
      <deletedField name="Column1447"/>
      <deletedField name="Column1448"/>
      <deletedField name="Column1449"/>
      <deletedField name="Column1450"/>
      <deletedField name="Column1451"/>
      <deletedField name="Column1452"/>
      <deletedField name="Column1453"/>
      <deletedField name="Column1454"/>
      <deletedField name="Column1455"/>
      <deletedField name="Column1456"/>
      <deletedField name="Column1457"/>
      <deletedField name="Column1458"/>
      <deletedField name="Column1459"/>
      <deletedField name="Column1460"/>
      <deletedField name="Column1461"/>
      <deletedField name="Column1462"/>
      <deletedField name="Column1463"/>
      <deletedField name="Column1464"/>
      <deletedField name="Column1465"/>
      <deletedField name="Column1466"/>
      <deletedField name="Column1467"/>
      <deletedField name="Column1468"/>
      <deletedField name="Column1469"/>
      <deletedField name="Column1470"/>
      <deletedField name="Column1471"/>
      <deletedField name="Column1472"/>
      <deletedField name="Column1473"/>
      <deletedField name="Column1474"/>
      <deletedField name="Column1475"/>
      <deletedField name="Column1476"/>
      <deletedField name="Column1477"/>
      <deletedField name="Column1478"/>
      <deletedField name="Column1479"/>
      <deletedField name="Column1480"/>
      <deletedField name="Column1481"/>
      <deletedField name="Column1482"/>
      <deletedField name="Column1483"/>
      <deletedField name="Column1484"/>
      <deletedField name="Column1485"/>
      <deletedField name="Column1486"/>
      <deletedField name="Column1487"/>
      <deletedField name="Column1488"/>
      <deletedField name="Column1489"/>
      <deletedField name="Column1490"/>
      <deletedField name="Column1491"/>
      <deletedField name="Column1492"/>
      <deletedField name="Column1493"/>
      <deletedField name="Column1494"/>
      <deletedField name="Column1495"/>
      <deletedField name="Column1496"/>
      <deletedField name="Column1497"/>
      <deletedField name="Column1498"/>
      <deletedField name="Column1499"/>
      <deletedField name="Column1500"/>
      <deletedField name="Column1501"/>
      <deletedField name="Column1502"/>
      <deletedField name="Column1503"/>
      <deletedField name="Column1504"/>
      <deletedField name="Column1505"/>
      <deletedField name="Column1506"/>
      <deletedField name="Column1507"/>
      <deletedField name="Column1508"/>
      <deletedField name="Column1509"/>
      <deletedField name="Column1510"/>
      <deletedField name="Column1511"/>
      <deletedField name="Column1512"/>
      <deletedField name="Column1513"/>
      <deletedField name="Column1514"/>
      <deletedField name="Column1515"/>
      <deletedField name="Column1516"/>
      <deletedField name="Column1517"/>
      <deletedField name="Column1518"/>
      <deletedField name="Column1519"/>
      <deletedField name="Column1520"/>
      <deletedField name="Column1521"/>
      <deletedField name="Column1522"/>
      <deletedField name="Column1523"/>
      <deletedField name="Column1524"/>
      <deletedField name="Column1525"/>
      <deletedField name="Column1526"/>
      <deletedField name="Column1527"/>
      <deletedField name="Column1528"/>
      <deletedField name="Column1529"/>
      <deletedField name="Column1530"/>
      <deletedField name="Column1531"/>
      <deletedField name="Column1532"/>
      <deletedField name="Column1533"/>
      <deletedField name="Column1534"/>
      <deletedField name="Column1535"/>
      <deletedField name="Column1536"/>
      <deletedField name="Column1537"/>
      <deletedField name="Column1538"/>
      <deletedField name="Column1539"/>
      <deletedField name="Column1540"/>
      <deletedField name="Column1541"/>
      <deletedField name="Column1542"/>
      <deletedField name="Column1543"/>
      <deletedField name="Column1544"/>
      <deletedField name="Column1545"/>
      <deletedField name="Column1546"/>
      <deletedField name="Column1547"/>
      <deletedField name="Column1548"/>
      <deletedField name="Column1549"/>
      <deletedField name="Column1550"/>
      <deletedField name="Column1551"/>
      <deletedField name="Column1552"/>
      <deletedField name="Column1553"/>
      <deletedField name="Column1554"/>
      <deletedField name="Column1555"/>
      <deletedField name="Column1556"/>
      <deletedField name="Column1557"/>
      <deletedField name="Column1558"/>
      <deletedField name="Column1559"/>
      <deletedField name="Column1560"/>
      <deletedField name="Column1561"/>
      <deletedField name="Column1562"/>
      <deletedField name="Column1563"/>
      <deletedField name="Column1564"/>
      <deletedField name="Column1565"/>
      <deletedField name="Column1566"/>
      <deletedField name="Column1567"/>
      <deletedField name="Column1568"/>
      <deletedField name="Column1569"/>
      <deletedField name="Column1570"/>
      <deletedField name="Column1571"/>
      <deletedField name="Column1572"/>
      <deletedField name="Column1573"/>
      <deletedField name="Column1574"/>
      <deletedField name="Column1575"/>
      <deletedField name="Column1576"/>
      <deletedField name="Column1577"/>
      <deletedField name="Column1578"/>
      <deletedField name="Column1579"/>
      <deletedField name="Column1580"/>
      <deletedField name="Column1581"/>
      <deletedField name="Column1582"/>
      <deletedField name="Column1583"/>
      <deletedField name="Column1584"/>
      <deletedField name="Column1585"/>
      <deletedField name="Column1586"/>
      <deletedField name="Column1587"/>
      <deletedField name="Column1588"/>
      <deletedField name="Column1589"/>
      <deletedField name="Column1590"/>
      <deletedField name="Column1591"/>
      <deletedField name="Column1592"/>
      <deletedField name="Column1593"/>
      <deletedField name="Column1594"/>
      <deletedField name="Column1595"/>
      <deletedField name="Column1596"/>
      <deletedField name="Column1597"/>
      <deletedField name="Column1598"/>
      <deletedField name="Column1599"/>
      <deletedField name="Column1600"/>
      <deletedField name="Column1601"/>
      <deletedField name="Column1602"/>
      <deletedField name="Column1603"/>
      <deletedField name="Column1604"/>
      <deletedField name="Column1605"/>
      <deletedField name="Column1606"/>
      <deletedField name="Column1607"/>
      <deletedField name="Column1608"/>
      <deletedField name="Column1609"/>
      <deletedField name="Column1610"/>
      <deletedField name="Column1611"/>
      <deletedField name="Column1612"/>
      <deletedField name="Column1613"/>
      <deletedField name="Column1614"/>
      <deletedField name="Column1615"/>
      <deletedField name="Column1616"/>
      <deletedField name="Column1617"/>
      <deletedField name="Column1618"/>
      <deletedField name="Column1619"/>
      <deletedField name="Column1620"/>
      <deletedField name="Column1621"/>
      <deletedField name="Column1622"/>
      <deletedField name="Column1623"/>
      <deletedField name="Column1624"/>
      <deletedField name="Column1625"/>
      <deletedField name="Column1626"/>
      <deletedField name="Column1627"/>
      <deletedField name="Column1628"/>
      <deletedField name="Column1629"/>
      <deletedField name="Column1630"/>
      <deletedField name="Column1631"/>
      <deletedField name="Column1632"/>
      <deletedField name="Column1633"/>
      <deletedField name="Column1634"/>
      <deletedField name="Column1635"/>
      <deletedField name="Column1636"/>
      <deletedField name="Column1637"/>
      <deletedField name="Column1638"/>
      <deletedField name="Column1639"/>
      <deletedField name="Column1640"/>
      <deletedField name="Column1641"/>
      <deletedField name="Column1642"/>
      <deletedField name="Column1643"/>
      <deletedField name="Column1644"/>
      <deletedField name="Column1645"/>
      <deletedField name="Column1646"/>
      <deletedField name="Column1647"/>
      <deletedField name="Column1648"/>
      <deletedField name="Column1649"/>
      <deletedField name="Column1650"/>
      <deletedField name="Column1651"/>
      <deletedField name="Column1652"/>
      <deletedField name="Column1653"/>
      <deletedField name="Column1654"/>
      <deletedField name="Column1655"/>
      <deletedField name="Column1656"/>
      <deletedField name="Column1657"/>
      <deletedField name="Column1658"/>
      <deletedField name="Column1659"/>
      <deletedField name="Column1660"/>
      <deletedField name="Column1661"/>
      <deletedField name="Column1662"/>
      <deletedField name="Column1663"/>
      <deletedField name="Column1664"/>
      <deletedField name="Column1665"/>
      <deletedField name="Column1666"/>
      <deletedField name="Column1667"/>
      <deletedField name="Column1668"/>
      <deletedField name="Column1669"/>
      <deletedField name="Column1670"/>
      <deletedField name="Column1671"/>
      <deletedField name="Column1672"/>
      <deletedField name="Column1673"/>
      <deletedField name="Column1674"/>
      <deletedField name="Column1675"/>
      <deletedField name="Column1676"/>
      <deletedField name="Column1677"/>
      <deletedField name="Column1678"/>
      <deletedField name="Column1679"/>
      <deletedField name="Column1680"/>
      <deletedField name="Column1681"/>
      <deletedField name="Column1682"/>
      <deletedField name="Column1683"/>
      <deletedField name="Column1684"/>
      <deletedField name="Column1685"/>
      <deletedField name="Column1686"/>
      <deletedField name="Column1687"/>
      <deletedField name="Column1688"/>
      <deletedField name="Column1689"/>
      <deletedField name="Column1690"/>
      <deletedField name="Column1691"/>
      <deletedField name="Column1692"/>
      <deletedField name="Column1693"/>
      <deletedField name="Column1694"/>
      <deletedField name="Column1695"/>
      <deletedField name="Column1696"/>
      <deletedField name="Column1697"/>
      <deletedField name="Column1698"/>
      <deletedField name="Column1699"/>
      <deletedField name="Column1700"/>
      <deletedField name="Column1701"/>
      <deletedField name="Column1702"/>
      <deletedField name="Column1703"/>
      <deletedField name="Column1704"/>
      <deletedField name="Column1705"/>
      <deletedField name="Column1706"/>
      <deletedField name="Column1707"/>
      <deletedField name="Column1708"/>
      <deletedField name="Column1709"/>
      <deletedField name="Column1710"/>
      <deletedField name="Column1711"/>
      <deletedField name="Column1712"/>
      <deletedField name="Column1713"/>
      <deletedField name="Column1714"/>
      <deletedField name="Column1715"/>
      <deletedField name="Column1716"/>
      <deletedField name="Column1717"/>
      <deletedField name="Column1718"/>
      <deletedField name="Column1719"/>
      <deletedField name="Column1720"/>
      <deletedField name="Column1721"/>
      <deletedField name="Column1722"/>
      <deletedField name="Column1723"/>
      <deletedField name="Column1724"/>
      <deletedField name="Column1725"/>
      <deletedField name="Column1726"/>
      <deletedField name="Column1727"/>
      <deletedField name="Column1728"/>
      <deletedField name="Column1729"/>
      <deletedField name="Column1730"/>
      <deletedField name="Column1731"/>
      <deletedField name="Column1732"/>
      <deletedField name="Column1733"/>
      <deletedField name="Column1734"/>
      <deletedField name="Column1735"/>
      <deletedField name="Column1736"/>
      <deletedField name="Column1737"/>
      <deletedField name="Column1738"/>
      <deletedField name="Column1739"/>
      <deletedField name="Column1740"/>
      <deletedField name="Column1741"/>
      <deletedField name="Column1742"/>
      <deletedField name="Column1743"/>
      <deletedField name="Column1744"/>
      <deletedField name="Column1745"/>
      <deletedField name="Column1746"/>
      <deletedField name="Column1747"/>
      <deletedField name="Column1748"/>
      <deletedField name="Column1749"/>
      <deletedField name="Column1750"/>
      <deletedField name="Column1751"/>
      <deletedField name="Column1752"/>
      <deletedField name="Column1753"/>
      <deletedField name="Column1754"/>
      <deletedField name="Column1755"/>
      <deletedField name="Column1756"/>
      <deletedField name="Column1757"/>
      <deletedField name="Column1758"/>
      <deletedField name="Column1759"/>
      <deletedField name="Column1760"/>
      <deletedField name="Column1761"/>
      <deletedField name="Column1762"/>
      <deletedField name="Column1763"/>
      <deletedField name="Column1764"/>
      <deletedField name="Column1765"/>
      <deletedField name="Column1766"/>
      <deletedField name="Column1767"/>
      <deletedField name="Column1768"/>
      <deletedField name="Column1769"/>
      <deletedField name="Column1770"/>
      <deletedField name="Column1771"/>
      <deletedField name="Column1772"/>
      <deletedField name="Column1773"/>
      <deletedField name="Column1774"/>
      <deletedField name="Column1775"/>
      <deletedField name="Column1776"/>
      <deletedField name="Column1777"/>
      <deletedField name="Column1778"/>
      <deletedField name="Column1779"/>
      <deletedField name="Column1780"/>
      <deletedField name="Column1781"/>
      <deletedField name="Column1782"/>
      <deletedField name="Column1783"/>
      <deletedField name="Column1784"/>
      <deletedField name="Column1785"/>
      <deletedField name="Column1786"/>
      <deletedField name="Column1787"/>
      <deletedField name="Column1788"/>
      <deletedField name="Column1789"/>
      <deletedField name="Column1790"/>
      <deletedField name="Column1791"/>
      <deletedField name="Column1792"/>
      <deletedField name="Column1793"/>
      <deletedField name="Column1794"/>
      <deletedField name="Column1795"/>
      <deletedField name="Column1796"/>
      <deletedField name="Column1797"/>
      <deletedField name="Column1798"/>
      <deletedField name="Column1799"/>
      <deletedField name="Column1800"/>
      <deletedField name="Column1801"/>
      <deletedField name="Column1802"/>
      <deletedField name="Column1803"/>
      <deletedField name="Column1804"/>
      <deletedField name="Column1805"/>
      <deletedField name="Column1806"/>
      <deletedField name="Column1807"/>
      <deletedField name="Column1808"/>
      <deletedField name="Column1809"/>
      <deletedField name="Column1810"/>
      <deletedField name="Column1811"/>
      <deletedField name="Column1812"/>
      <deletedField name="Column1813"/>
      <deletedField name="Column1814"/>
      <deletedField name="Column1815"/>
      <deletedField name="Column1816"/>
      <deletedField name="Column1817"/>
      <deletedField name="Column1818"/>
      <deletedField name="Column1819"/>
      <deletedField name="Column1820"/>
      <deletedField name="Column1821"/>
      <deletedField name="Column1822"/>
      <deletedField name="Column1823"/>
      <deletedField name="Column1824"/>
      <deletedField name="Column1825"/>
      <deletedField name="Column1826"/>
      <deletedField name="Column1827"/>
      <deletedField name="Column1828"/>
      <deletedField name="Column1829"/>
      <deletedField name="Column1830"/>
      <deletedField name="Column1831"/>
      <deletedField name="Column1832"/>
      <deletedField name="Column1833"/>
      <deletedField name="Column1834"/>
      <deletedField name="Column1835"/>
      <deletedField name="Column1836"/>
      <deletedField name="Column1837"/>
      <deletedField name="Column1838"/>
      <deletedField name="Column1839"/>
      <deletedField name="Column1840"/>
      <deletedField name="Column1841"/>
      <deletedField name="Column1842"/>
      <deletedField name="Column1843"/>
      <deletedField name="Column1844"/>
      <deletedField name="Column1845"/>
      <deletedField name="Column1846"/>
      <deletedField name="Column1847"/>
      <deletedField name="Column1848"/>
      <deletedField name="Column1849"/>
      <deletedField name="Column1850"/>
      <deletedField name="Column1851"/>
      <deletedField name="Column1852"/>
      <deletedField name="Column1853"/>
      <deletedField name="Column1854"/>
      <deletedField name="Column1855"/>
      <deletedField name="Column1856"/>
      <deletedField name="Column1857"/>
      <deletedField name="Column1858"/>
      <deletedField name="Column1859"/>
      <deletedField name="Column1860"/>
      <deletedField name="Column1861"/>
      <deletedField name="Column1862"/>
      <deletedField name="Column1863"/>
      <deletedField name="Column1864"/>
      <deletedField name="Column1865"/>
      <deletedField name="Column1866"/>
      <deletedField name="Column1867"/>
      <deletedField name="Column1868"/>
      <deletedField name="Column1869"/>
      <deletedField name="Column1870"/>
      <deletedField name="Column1871"/>
      <deletedField name="Column1872"/>
      <deletedField name="Column1873"/>
      <deletedField name="Column1874"/>
      <deletedField name="Column1875"/>
      <deletedField name="Column1876"/>
      <deletedField name="Column1877"/>
      <deletedField name="Column1878"/>
      <deletedField name="Column1879"/>
      <deletedField name="Column1880"/>
      <deletedField name="Column1881"/>
      <deletedField name="Column1882"/>
      <deletedField name="Column1883"/>
      <deletedField name="Column1884"/>
      <deletedField name="Column1885"/>
      <deletedField name="Column1886"/>
      <deletedField name="Column1887"/>
      <deletedField name="Column1888"/>
      <deletedField name="Column1889"/>
      <deletedField name="Column1890"/>
      <deletedField name="Column1891"/>
      <deletedField name="Column1892"/>
      <deletedField name="Column1893"/>
      <deletedField name="Column1894"/>
      <deletedField name="Column1895"/>
      <deletedField name="Column1896"/>
      <deletedField name="Column1897"/>
      <deletedField name="Column1898"/>
      <deletedField name="Column1899"/>
      <deletedField name="Column1900"/>
      <deletedField name="Column1901"/>
      <deletedField name="Column1902"/>
      <deletedField name="Column1903"/>
      <deletedField name="Column1904"/>
      <deletedField name="Column1905"/>
      <deletedField name="Column1906"/>
      <deletedField name="Column1907"/>
      <deletedField name="Column1908"/>
      <deletedField name="Column1909"/>
      <deletedField name="Column1910"/>
      <deletedField name="Column1911"/>
      <deletedField name="Column1912"/>
      <deletedField name="Column1913"/>
      <deletedField name="Column1914"/>
      <deletedField name="Column1915"/>
      <deletedField name="Column1916"/>
      <deletedField name="Column1917"/>
      <deletedField name="Column1918"/>
      <deletedField name="Column1919"/>
      <deletedField name="Column1920"/>
      <deletedField name="Column1921"/>
      <deletedField name="Column1922"/>
      <deletedField name="Column1923"/>
      <deletedField name="Column1924"/>
      <deletedField name="Column1925"/>
      <deletedField name="Column1926"/>
      <deletedField name="Column1927"/>
      <deletedField name="Column1928"/>
      <deletedField name="Column1929"/>
      <deletedField name="Column1930"/>
      <deletedField name="Column1931"/>
      <deletedField name="Column1932"/>
      <deletedField name="Column1933"/>
      <deletedField name="Column1934"/>
      <deletedField name="Column1935"/>
      <deletedField name="Column1936"/>
      <deletedField name="Column1937"/>
      <deletedField name="Column1938"/>
      <deletedField name="Column1939"/>
      <deletedField name="Column1940"/>
      <deletedField name="Column1941"/>
      <deletedField name="Column1942"/>
      <deletedField name="Column1943"/>
      <deletedField name="Column1944"/>
      <deletedField name="Column1945"/>
      <deletedField name="Column1946"/>
      <deletedField name="Column1947"/>
      <deletedField name="Column1948"/>
      <deletedField name="Column1949"/>
      <deletedField name="Column1950"/>
      <deletedField name="Column1951"/>
      <deletedField name="Column1952"/>
      <deletedField name="Column1953"/>
      <deletedField name="Column1954"/>
      <deletedField name="Column1955"/>
      <deletedField name="Column1956"/>
      <deletedField name="Column1957"/>
      <deletedField name="Column1958"/>
      <deletedField name="Column1959"/>
      <deletedField name="Column1960"/>
      <deletedField name="Column1961"/>
      <deletedField name="Column1962"/>
      <deletedField name="Column1963"/>
      <deletedField name="Column1964"/>
      <deletedField name="Column1965"/>
      <deletedField name="Column1966"/>
      <deletedField name="Column1967"/>
      <deletedField name="Column1968"/>
      <deletedField name="Column1969"/>
      <deletedField name="Column1970"/>
      <deletedField name="Column1971"/>
      <deletedField name="Column1972"/>
      <deletedField name="Column1973"/>
      <deletedField name="Column1974"/>
      <deletedField name="Column1975"/>
      <deletedField name="Column1976"/>
      <deletedField name="Column1977"/>
      <deletedField name="Column1978"/>
      <deletedField name="Column1979"/>
      <deletedField name="Column1980"/>
      <deletedField name="Column1981"/>
      <deletedField name="Column1982"/>
      <deletedField name="Column1983"/>
      <deletedField name="Column1984"/>
      <deletedField name="Column1985"/>
      <deletedField name="Column1986"/>
      <deletedField name="Column1987"/>
      <deletedField name="Column1988"/>
      <deletedField name="Column1989"/>
      <deletedField name="Column1990"/>
      <deletedField name="Column1991"/>
      <deletedField name="Column1992"/>
      <deletedField name="Column1993"/>
      <deletedField name="Column1994"/>
      <deletedField name="Column1995"/>
      <deletedField name="Column1996"/>
      <deletedField name="Column1997"/>
      <deletedField name="Column1998"/>
      <deletedField name="Column1999"/>
      <deletedField name="Column2000"/>
      <deletedField name="Column2001"/>
      <deletedField name="Column2002"/>
      <deletedField name="Column2003"/>
      <deletedField name="Column2004"/>
      <deletedField name="Column2005"/>
      <deletedField name="Column2006"/>
      <deletedField name="Column2007"/>
      <deletedField name="Column2008"/>
      <deletedField name="Column2009"/>
      <deletedField name="Column2010"/>
      <deletedField name="Column2011"/>
      <deletedField name="Column2012"/>
      <deletedField name="Column2013"/>
      <deletedField name="Column2014"/>
      <deletedField name="Column2015"/>
      <deletedField name="Column2016"/>
      <deletedField name="Column2017"/>
      <deletedField name="Column2018"/>
      <deletedField name="Column2019"/>
      <deletedField name="Column2020"/>
      <deletedField name="Column2021"/>
      <deletedField name="Column2022"/>
      <deletedField name="Column2023"/>
      <deletedField name="Column2024"/>
      <deletedField name="Column2025"/>
      <deletedField name="Column2026"/>
      <deletedField name="Column2027"/>
      <deletedField name="Column2028"/>
      <deletedField name="Column2029"/>
      <deletedField name="Column2030"/>
      <deletedField name="Column2031"/>
      <deletedField name="Column2032"/>
      <deletedField name="Column2033"/>
      <deletedField name="Column2034"/>
      <deletedField name="Column2035"/>
      <deletedField name="Column2036"/>
      <deletedField name="Column2037"/>
      <deletedField name="Column2038"/>
      <deletedField name="Column2039"/>
      <deletedField name="Column2040"/>
      <deletedField name="Column2041"/>
      <deletedField name="Column2042"/>
      <deletedField name="Column2043"/>
      <deletedField name="Column2044"/>
      <deletedField name="Column2045"/>
      <deletedField name="Column2046"/>
      <deletedField name="Column2047"/>
      <deletedField name="Column2048"/>
      <deletedField name="Column2049"/>
      <deletedField name="Column2050"/>
      <deletedField name="Column2051"/>
      <deletedField name="Column2052"/>
      <deletedField name="Column2053"/>
      <deletedField name="Column2054"/>
      <deletedField name="Column2055"/>
      <deletedField name="Column2056"/>
      <deletedField name="Column2057"/>
      <deletedField name="Column2058"/>
      <deletedField name="Column2059"/>
      <deletedField name="Column2060"/>
      <deletedField name="Column2061"/>
      <deletedField name="Column2062"/>
      <deletedField name="Column2063"/>
      <deletedField name="Column2064"/>
      <deletedField name="Column2065"/>
      <deletedField name="Column2066"/>
      <deletedField name="Column2067"/>
      <deletedField name="Column2068"/>
      <deletedField name="Column2069"/>
      <deletedField name="Column2070"/>
      <deletedField name="Column2071"/>
      <deletedField name="Column2072"/>
      <deletedField name="Column2073"/>
      <deletedField name="Column2074"/>
      <deletedField name="Column2075"/>
      <deletedField name="Column2076"/>
      <deletedField name="Column2077"/>
      <deletedField name="Column2078"/>
      <deletedField name="Column2079"/>
      <deletedField name="Column2080"/>
      <deletedField name="Column2081"/>
      <deletedField name="Column2082"/>
      <deletedField name="Column2083"/>
      <deletedField name="Column2084"/>
      <deletedField name="Column2085"/>
      <deletedField name="Column2086"/>
      <deletedField name="Column2087"/>
      <deletedField name="Column2088"/>
      <deletedField name="Column2089"/>
      <deletedField name="Column2090"/>
      <deletedField name="Column2091"/>
      <deletedField name="Column2092"/>
      <deletedField name="Column2093"/>
      <deletedField name="Column2094"/>
      <deletedField name="Column2095"/>
      <deletedField name="Column2096"/>
      <deletedField name="Column2097"/>
      <deletedField name="Column2098"/>
      <deletedField name="Column2099"/>
      <deletedField name="Column2100"/>
      <deletedField name="Column2101"/>
      <deletedField name="Column2102"/>
      <deletedField name="Column2103"/>
      <deletedField name="Column2104"/>
      <deletedField name="Column2105"/>
      <deletedField name="Column2106"/>
      <deletedField name="Column2107"/>
      <deletedField name="Column2108"/>
      <deletedField name="Column2109"/>
      <deletedField name="Column2110"/>
      <deletedField name="Column2111"/>
      <deletedField name="Column2112"/>
      <deletedField name="Column2113"/>
      <deletedField name="Column2114"/>
      <deletedField name="Column2115"/>
      <deletedField name="Column2116"/>
      <deletedField name="Column2117"/>
      <deletedField name="Column2118"/>
      <deletedField name="Column2119"/>
      <deletedField name="Column2120"/>
      <deletedField name="Column2121"/>
      <deletedField name="Column2122"/>
      <deletedField name="Column2123"/>
      <deletedField name="Column2124"/>
      <deletedField name="Column2125"/>
      <deletedField name="Column2126"/>
      <deletedField name="Column2127"/>
      <deletedField name="Column2128"/>
      <deletedField name="Column2129"/>
      <deletedField name="Column2130"/>
      <deletedField name="Column2131"/>
      <deletedField name="Column2132"/>
      <deletedField name="Column2133"/>
      <deletedField name="Column2134"/>
      <deletedField name="Column2135"/>
      <deletedField name="Column2136"/>
      <deletedField name="Column2137"/>
      <deletedField name="Column2138"/>
      <deletedField name="Column2139"/>
      <deletedField name="Column2140"/>
      <deletedField name="Column2141"/>
      <deletedField name="Column2142"/>
      <deletedField name="Column2143"/>
      <deletedField name="Column2144"/>
      <deletedField name="Column2145"/>
      <deletedField name="Column2146"/>
      <deletedField name="Column2147"/>
      <deletedField name="Column2148"/>
      <deletedField name="Column2149"/>
      <deletedField name="Column2150"/>
      <deletedField name="Column2151"/>
      <deletedField name="Column2152"/>
      <deletedField name="Column2153"/>
      <deletedField name="Column2154"/>
      <deletedField name="Column2155"/>
      <deletedField name="Column2156"/>
      <deletedField name="Column2157"/>
      <deletedField name="Column2158"/>
      <deletedField name="Column2159"/>
      <deletedField name="Column2160"/>
      <deletedField name="Column2161"/>
      <deletedField name="Column2162"/>
      <deletedField name="Column2163"/>
      <deletedField name="Column2164"/>
      <deletedField name="Column2165"/>
      <deletedField name="Column2166"/>
      <deletedField name="Column2167"/>
      <deletedField name="Column2168"/>
      <deletedField name="Column2169"/>
      <deletedField name="Column2170"/>
      <deletedField name="Column2171"/>
      <deletedField name="Column2172"/>
      <deletedField name="Column2173"/>
      <deletedField name="Column2174"/>
      <deletedField name="Column2175"/>
      <deletedField name="Column2176"/>
      <deletedField name="Column2177"/>
      <deletedField name="Column2178"/>
      <deletedField name="Column2179"/>
      <deletedField name="Column2180"/>
      <deletedField name="Column2181"/>
      <deletedField name="Column2182"/>
      <deletedField name="Column2183"/>
      <deletedField name="Column2184"/>
      <deletedField name="Column2185"/>
      <deletedField name="Column2186"/>
      <deletedField name="Column2187"/>
      <deletedField name="Column2188"/>
      <deletedField name="Column2189"/>
      <deletedField name="Column2190"/>
      <deletedField name="Column2191"/>
      <deletedField name="Column2192"/>
      <deletedField name="Column2193"/>
      <deletedField name="Column2194"/>
      <deletedField name="Column2195"/>
      <deletedField name="Column2196"/>
      <deletedField name="Column2197"/>
      <deletedField name="Column2198"/>
      <deletedField name="Column2199"/>
      <deletedField name="Column2200"/>
      <deletedField name="Column2201"/>
      <deletedField name="Column2202"/>
      <deletedField name="Column2203"/>
      <deletedField name="Column2204"/>
      <deletedField name="Column2205"/>
      <deletedField name="Column2206"/>
      <deletedField name="Column2207"/>
      <deletedField name="Column2208"/>
      <deletedField name="Column2209"/>
      <deletedField name="Column2210"/>
      <deletedField name="Column2211"/>
      <deletedField name="Column2212"/>
      <deletedField name="Column2213"/>
      <deletedField name="Column2214"/>
      <deletedField name="Column2215"/>
      <deletedField name="Column2216"/>
      <deletedField name="Column2217"/>
      <deletedField name="Column2218"/>
      <deletedField name="Column2219"/>
      <deletedField name="Column2220"/>
      <deletedField name="Column2221"/>
      <deletedField name="Column2222"/>
      <deletedField name="Column2223"/>
      <deletedField name="Column2224"/>
      <deletedField name="Column2225"/>
      <deletedField name="Column2226"/>
      <deletedField name="Column2227"/>
      <deletedField name="Column2228"/>
      <deletedField name="Column2229"/>
      <deletedField name="Column2230"/>
      <deletedField name="Column2231"/>
      <deletedField name="Column2232"/>
      <deletedField name="Column2233"/>
      <deletedField name="Column2234"/>
      <deletedField name="Column2235"/>
      <deletedField name="Column2236"/>
      <deletedField name="Column2237"/>
      <deletedField name="Column2238"/>
      <deletedField name="Column2239"/>
      <deletedField name="Column2240"/>
      <deletedField name="Column2241"/>
      <deletedField name="Column2242"/>
      <deletedField name="Column2243"/>
      <deletedField name="Column2244"/>
      <deletedField name="Column2245"/>
      <deletedField name="Column2246"/>
      <deletedField name="Column2247"/>
      <deletedField name="Column2248"/>
      <deletedField name="Column2249"/>
      <deletedField name="Column2250"/>
      <deletedField name="Column2251"/>
      <deletedField name="Column2252"/>
      <deletedField name="Column2253"/>
      <deletedField name="Column2254"/>
      <deletedField name="Column2255"/>
      <deletedField name="Column2256"/>
      <deletedField name="Column2257"/>
      <deletedField name="Column2258"/>
      <deletedField name="Column2259"/>
      <deletedField name="Column2260"/>
      <deletedField name="Column2261"/>
      <deletedField name="Column2262"/>
      <deletedField name="Column2263"/>
      <deletedField name="Column2264"/>
      <deletedField name="Column2265"/>
      <deletedField name="Column2266"/>
      <deletedField name="Column2267"/>
      <deletedField name="Column2268"/>
      <deletedField name="Column2269"/>
      <deletedField name="Column2270"/>
      <deletedField name="Column2271"/>
      <deletedField name="Column2272"/>
      <deletedField name="Column2273"/>
      <deletedField name="Column2274"/>
      <deletedField name="Column2275"/>
      <deletedField name="Column2276"/>
      <deletedField name="Column2277"/>
      <deletedField name="Column2278"/>
      <deletedField name="Column2279"/>
      <deletedField name="Column2280"/>
      <deletedField name="Column2281"/>
      <deletedField name="Column2282"/>
      <deletedField name="Column2283"/>
      <deletedField name="Column2284"/>
      <deletedField name="Column2285"/>
      <deletedField name="Column2286"/>
      <deletedField name="Column2287"/>
      <deletedField name="Column2288"/>
      <deletedField name="Column2289"/>
      <deletedField name="Column2290"/>
      <deletedField name="Column2291"/>
      <deletedField name="Column2292"/>
      <deletedField name="Column2293"/>
      <deletedField name="Column2294"/>
      <deletedField name="Column2295"/>
      <deletedField name="Column2296"/>
      <deletedField name="Column2297"/>
      <deletedField name="Column2298"/>
      <deletedField name="Column2299"/>
      <deletedField name="Column2300"/>
      <deletedField name="Column2301"/>
      <deletedField name="Column2302"/>
      <deletedField name="Column2303"/>
      <deletedField name="Column2304"/>
      <deletedField name="Column2305"/>
      <deletedField name="Column2306"/>
      <deletedField name="Column2307"/>
      <deletedField name="Column2308"/>
      <deletedField name="Column2309"/>
      <deletedField name="Column2310"/>
      <deletedField name="Column2311"/>
      <deletedField name="Column2312"/>
      <deletedField name="Column2313"/>
      <deletedField name="Column2314"/>
      <deletedField name="Column2315"/>
      <deletedField name="Column2316"/>
      <deletedField name="Column2317"/>
      <deletedField name="Column2318"/>
      <deletedField name="Column2319"/>
      <deletedField name="Column2320"/>
      <deletedField name="Column2321"/>
      <deletedField name="Column2322"/>
      <deletedField name="Column2323"/>
      <deletedField name="Column2324"/>
      <deletedField name="Column2325"/>
      <deletedField name="Column2326"/>
      <deletedField name="Column2327"/>
      <deletedField name="Column2328"/>
      <deletedField name="Column2329"/>
      <deletedField name="Column2330"/>
      <deletedField name="Column2331"/>
      <deletedField name="Column2332"/>
      <deletedField name="Column2333"/>
      <deletedField name="Column2334"/>
      <deletedField name="Column2335"/>
      <deletedField name="Column2336"/>
      <deletedField name="Column2337"/>
      <deletedField name="Column2338"/>
      <deletedField name="Column2339"/>
      <deletedField name="Column2340"/>
      <deletedField name="Column2341"/>
      <deletedField name="Column2342"/>
      <deletedField name="Column2343"/>
      <deletedField name="Column2344"/>
      <deletedField name="Column2345"/>
      <deletedField name="Column2346"/>
      <deletedField name="Column2347"/>
      <deletedField name="Column2348"/>
      <deletedField name="Column2349"/>
      <deletedField name="Column2350"/>
      <deletedField name="Column2351"/>
      <deletedField name="Column2352"/>
      <deletedField name="Column2353"/>
      <deletedField name="Column2354"/>
      <deletedField name="Column2355"/>
      <deletedField name="Column2356"/>
      <deletedField name="Column2357"/>
      <deletedField name="Column2358"/>
      <deletedField name="Column2359"/>
      <deletedField name="Column2360"/>
      <deletedField name="Column2361"/>
      <deletedField name="Column2362"/>
      <deletedField name="Column2363"/>
      <deletedField name="Column2364"/>
      <deletedField name="Column2365"/>
      <deletedField name="Column2366"/>
      <deletedField name="Column2367"/>
      <deletedField name="Column2368"/>
      <deletedField name="Column2369"/>
      <deletedField name="Column2370"/>
      <deletedField name="Column2371"/>
      <deletedField name="Column2372"/>
      <deletedField name="Column2373"/>
      <deletedField name="Column2374"/>
      <deletedField name="Column2375"/>
      <deletedField name="Column2376"/>
      <deletedField name="Column2377"/>
      <deletedField name="Column2378"/>
      <deletedField name="Column2379"/>
      <deletedField name="Column2380"/>
      <deletedField name="Column2381"/>
      <deletedField name="Column2382"/>
      <deletedField name="Column2383"/>
      <deletedField name="Column2384"/>
      <deletedField name="Column2385"/>
      <deletedField name="Column2386"/>
      <deletedField name="Column2387"/>
      <deletedField name="Column2388"/>
      <deletedField name="Column2389"/>
      <deletedField name="Column2390"/>
      <deletedField name="Column2391"/>
      <deletedField name="Column2392"/>
      <deletedField name="Column2393"/>
      <deletedField name="Column2394"/>
      <deletedField name="Column2395"/>
      <deletedField name="Column2396"/>
      <deletedField name="Column2397"/>
      <deletedField name="Column2398"/>
      <deletedField name="Column2399"/>
      <deletedField name="Column2400"/>
      <deletedField name="Column2401"/>
      <deletedField name="Column2402"/>
      <deletedField name="Column2403"/>
      <deletedField name="Column2404"/>
      <deletedField name="Column2405"/>
      <deletedField name="Column2406"/>
      <deletedField name="Column2407"/>
      <deletedField name="Column2408"/>
      <deletedField name="Column2409"/>
      <deletedField name="Column2410"/>
      <deletedField name="Column2411"/>
      <deletedField name="Column2412"/>
      <deletedField name="Column2413"/>
      <deletedField name="Column2414"/>
      <deletedField name="Column2415"/>
      <deletedField name="Column2416"/>
      <deletedField name="Column2417"/>
      <deletedField name="Column2418"/>
      <deletedField name="Column2419"/>
      <deletedField name="Column2420"/>
      <deletedField name="Column2421"/>
      <deletedField name="Column2422"/>
      <deletedField name="Column2423"/>
      <deletedField name="Column2424"/>
      <deletedField name="Column2425"/>
      <deletedField name="Column2426"/>
      <deletedField name="Column2427"/>
      <deletedField name="Column2428"/>
      <deletedField name="Column2429"/>
      <deletedField name="Column2430"/>
      <deletedField name="Column2431"/>
      <deletedField name="Column2432"/>
      <deletedField name="Column2433"/>
      <deletedField name="Column2434"/>
      <deletedField name="Column2435"/>
      <deletedField name="Column2436"/>
      <deletedField name="Column2437"/>
      <deletedField name="Column2438"/>
      <deletedField name="Column2439"/>
      <deletedField name="Column2440"/>
      <deletedField name="Column2441"/>
      <deletedField name="Column2442"/>
      <deletedField name="Column2443"/>
      <deletedField name="Column2444"/>
      <deletedField name="Column2445"/>
      <deletedField name="Column2446"/>
      <deletedField name="Column2447"/>
      <deletedField name="Column2448"/>
      <deletedField name="Column2449"/>
      <deletedField name="Column2450"/>
      <deletedField name="Column2451"/>
      <deletedField name="Column2452"/>
      <deletedField name="Column2453"/>
      <deletedField name="Column2454"/>
      <deletedField name="Column2455"/>
      <deletedField name="Column2456"/>
      <deletedField name="Column2457"/>
      <deletedField name="Column2458"/>
      <deletedField name="Column2459"/>
      <deletedField name="Column2460"/>
      <deletedField name="Column2461"/>
      <deletedField name="Column2462"/>
      <deletedField name="Column2463"/>
      <deletedField name="Column2464"/>
      <deletedField name="Column2465"/>
      <deletedField name="Column2466"/>
      <deletedField name="Column2467"/>
      <deletedField name="Column2468"/>
      <deletedField name="Column2469"/>
      <deletedField name="Column2470"/>
      <deletedField name="Column2471"/>
      <deletedField name="Column2472"/>
      <deletedField name="Column2473"/>
      <deletedField name="Column2474"/>
      <deletedField name="Column2475"/>
      <deletedField name="Column2476"/>
      <deletedField name="Column2477"/>
      <deletedField name="Column2478"/>
      <deletedField name="Column2479"/>
      <deletedField name="Column2480"/>
      <deletedField name="Column2481"/>
      <deletedField name="Column2482"/>
      <deletedField name="Column2483"/>
      <deletedField name="Column2484"/>
      <deletedField name="Column2485"/>
      <deletedField name="Column2486"/>
      <deletedField name="Column2487"/>
      <deletedField name="Column2488"/>
      <deletedField name="Column2489"/>
      <deletedField name="Column2490"/>
      <deletedField name="Column2491"/>
      <deletedField name="Column2492"/>
      <deletedField name="Column2493"/>
      <deletedField name="Column2494"/>
      <deletedField name="Column2495"/>
      <deletedField name="Column2496"/>
      <deletedField name="Column2497"/>
      <deletedField name="Column2498"/>
      <deletedField name="Column2499"/>
      <deletedField name="Column2500"/>
      <deletedField name="Column2501"/>
      <deletedField name="Column2502"/>
      <deletedField name="Column2503"/>
      <deletedField name="Column2504"/>
      <deletedField name="Column2505"/>
      <deletedField name="Column2506"/>
      <deletedField name="Column2507"/>
      <deletedField name="Column2508"/>
      <deletedField name="Column2509"/>
      <deletedField name="Column2510"/>
      <deletedField name="Column2511"/>
      <deletedField name="Column2512"/>
      <deletedField name="Column2513"/>
      <deletedField name="Column2514"/>
      <deletedField name="Column2515"/>
      <deletedField name="Column2516"/>
      <deletedField name="Column2517"/>
      <deletedField name="Column2518"/>
      <deletedField name="Column2519"/>
      <deletedField name="Column2520"/>
      <deletedField name="Column2521"/>
      <deletedField name="Column2522"/>
      <deletedField name="Column2523"/>
      <deletedField name="Column2524"/>
      <deletedField name="Column2525"/>
      <deletedField name="Column2526"/>
      <deletedField name="Column2527"/>
      <deletedField name="Column2528"/>
      <deletedField name="Column2529"/>
      <deletedField name="Column2530"/>
      <deletedField name="Column2531"/>
      <deletedField name="Column2532"/>
      <deletedField name="Column2533"/>
      <deletedField name="Column2534"/>
      <deletedField name="Column2535"/>
      <deletedField name="Column2536"/>
      <deletedField name="Column2537"/>
      <deletedField name="Column2538"/>
      <deletedField name="Column2539"/>
      <deletedField name="Column2540"/>
      <deletedField name="Column2541"/>
      <deletedField name="Column2542"/>
      <deletedField name="Column2543"/>
      <deletedField name="Column2544"/>
      <deletedField name="Column2545"/>
      <deletedField name="Column2546"/>
      <deletedField name="Column2547"/>
      <deletedField name="Column2548"/>
      <deletedField name="Column2549"/>
      <deletedField name="Column2550"/>
      <deletedField name="Column2551"/>
      <deletedField name="Column2552"/>
      <deletedField name="Column2553"/>
      <deletedField name="Column2554"/>
      <deletedField name="Column2555"/>
      <deletedField name="Column2556"/>
      <deletedField name="Column2557"/>
      <deletedField name="Column2558"/>
      <deletedField name="Column2559"/>
      <deletedField name="Column2560"/>
      <deletedField name="Column2561"/>
      <deletedField name="Column2562"/>
      <deletedField name="Column2563"/>
      <deletedField name="Column2564"/>
      <deletedField name="Column2565"/>
      <deletedField name="Column2566"/>
      <deletedField name="Column2567"/>
      <deletedField name="Column2568"/>
      <deletedField name="Column2569"/>
      <deletedField name="Column2570"/>
      <deletedField name="Column2571"/>
      <deletedField name="Column2572"/>
      <deletedField name="Column2573"/>
      <deletedField name="Column2574"/>
      <deletedField name="Column2575"/>
      <deletedField name="Column2576"/>
      <deletedField name="Column2577"/>
      <deletedField name="Column2578"/>
      <deletedField name="Column2579"/>
      <deletedField name="Column2580"/>
      <deletedField name="Column2581"/>
      <deletedField name="Column2582"/>
      <deletedField name="Column2583"/>
      <deletedField name="Column2584"/>
      <deletedField name="Column2585"/>
      <deletedField name="Column2586"/>
      <deletedField name="Column2587"/>
      <deletedField name="Column2588"/>
      <deletedField name="Column2589"/>
      <deletedField name="Column2590"/>
      <deletedField name="Column2591"/>
      <deletedField name="Column2592"/>
      <deletedField name="Column2593"/>
      <deletedField name="Column2594"/>
      <deletedField name="Column2595"/>
      <deletedField name="Column2596"/>
      <deletedField name="Column2597"/>
      <deletedField name="Column2598"/>
      <deletedField name="Column2599"/>
      <deletedField name="Column2600"/>
      <deletedField name="Column2601"/>
      <deletedField name="Column2602"/>
      <deletedField name="Column2603"/>
      <deletedField name="Column2604"/>
      <deletedField name="Column2605"/>
      <deletedField name="Column2606"/>
      <deletedField name="Column2607"/>
      <deletedField name="Column2608"/>
      <deletedField name="Column2609"/>
      <deletedField name="Column2610"/>
      <deletedField name="Column2611"/>
      <deletedField name="Column2612"/>
      <deletedField name="Column2613"/>
      <deletedField name="Column2614"/>
      <deletedField name="Column2615"/>
      <deletedField name="Column2616"/>
      <deletedField name="Column2617"/>
      <deletedField name="Column2618"/>
      <deletedField name="Column2619"/>
      <deletedField name="Column2620"/>
      <deletedField name="Column2621"/>
      <deletedField name="Column2622"/>
      <deletedField name="Column2623"/>
      <deletedField name="Column2624"/>
      <deletedField name="Column2625"/>
      <deletedField name="Column2626"/>
      <deletedField name="Column2627"/>
      <deletedField name="Column2628"/>
      <deletedField name="Column2629"/>
      <deletedField name="Column2630"/>
      <deletedField name="Column2631"/>
      <deletedField name="Column2632"/>
      <deletedField name="Column2633"/>
      <deletedField name="Column2634"/>
      <deletedField name="Column2635"/>
      <deletedField name="Column2636"/>
      <deletedField name="Column2637"/>
      <deletedField name="Column2638"/>
      <deletedField name="Column2639"/>
      <deletedField name="Column2640"/>
      <deletedField name="Column2641"/>
      <deletedField name="Column2642"/>
      <deletedField name="Column2643"/>
      <deletedField name="Column2644"/>
      <deletedField name="Column2645"/>
      <deletedField name="Column2646"/>
      <deletedField name="Column2647"/>
      <deletedField name="Column2648"/>
      <deletedField name="Column2649"/>
      <deletedField name="Column2650"/>
      <deletedField name="Column2651"/>
      <deletedField name="Column2652"/>
      <deletedField name="Column2653"/>
      <deletedField name="Column2654"/>
      <deletedField name="Column2655"/>
      <deletedField name="Column2656"/>
      <deletedField name="Column2657"/>
      <deletedField name="Column2658"/>
      <deletedField name="Column2659"/>
      <deletedField name="Column2660"/>
      <deletedField name="Column2661"/>
      <deletedField name="Column2662"/>
      <deletedField name="Column2663"/>
      <deletedField name="Column2664"/>
      <deletedField name="Column2665"/>
      <deletedField name="Column2666"/>
      <deletedField name="Column2667"/>
      <deletedField name="Column2668"/>
      <deletedField name="Column2669"/>
      <deletedField name="Column2670"/>
      <deletedField name="Column2671"/>
      <deletedField name="Column2672"/>
      <deletedField name="Column2673"/>
      <deletedField name="Column2674"/>
      <deletedField name="Column2675"/>
      <deletedField name="Column2676"/>
      <deletedField name="Column2677"/>
      <deletedField name="Column2678"/>
      <deletedField name="Column2679"/>
      <deletedField name="Column2680"/>
      <deletedField name="Column2681"/>
      <deletedField name="Column2682"/>
      <deletedField name="Column2683"/>
      <deletedField name="Column2684"/>
      <deletedField name="Column2685"/>
      <deletedField name="Column2686"/>
      <deletedField name="Column2687"/>
      <deletedField name="Column2688"/>
      <deletedField name="Column2689"/>
      <deletedField name="Column2690"/>
      <deletedField name="Column2691"/>
      <deletedField name="Column2692"/>
      <deletedField name="Column2693"/>
      <deletedField name="Column2694"/>
      <deletedField name="Column2695"/>
      <deletedField name="Column2696"/>
      <deletedField name="Column2697"/>
      <deletedField name="Column2698"/>
      <deletedField name="Column2699"/>
      <deletedField name="Column2700"/>
      <deletedField name="Column2701"/>
      <deletedField name="Column2702"/>
      <deletedField name="Column2703"/>
      <deletedField name="Column2704"/>
      <deletedField name="Column2705"/>
      <deletedField name="Column2706"/>
      <deletedField name="Column2707"/>
      <deletedField name="Column2708"/>
      <deletedField name="Column2709"/>
      <deletedField name="Column2710"/>
      <deletedField name="Column2711"/>
      <deletedField name="Column2712"/>
      <deletedField name="Column2713"/>
      <deletedField name="Column2714"/>
      <deletedField name="Column2715"/>
      <deletedField name="Column2716"/>
      <deletedField name="Column2717"/>
      <deletedField name="Column2718"/>
      <deletedField name="Column2719"/>
      <deletedField name="Column2720"/>
      <deletedField name="Column2721"/>
      <deletedField name="Column2722"/>
      <deletedField name="Column2723"/>
      <deletedField name="Column2724"/>
      <deletedField name="Column2725"/>
      <deletedField name="Column2726"/>
      <deletedField name="Column2727"/>
      <deletedField name="Column2728"/>
      <deletedField name="Column2729"/>
      <deletedField name="Column2730"/>
      <deletedField name="Column2731"/>
      <deletedField name="Column2732"/>
      <deletedField name="Column2733"/>
      <deletedField name="Column2734"/>
      <deletedField name="Column2735"/>
      <deletedField name="Column2736"/>
      <deletedField name="Column2737"/>
      <deletedField name="Column2738"/>
      <deletedField name="Column2739"/>
      <deletedField name="Column2740"/>
      <deletedField name="Column2741"/>
      <deletedField name="Column2742"/>
      <deletedField name="Column2743"/>
      <deletedField name="Column2744"/>
      <deletedField name="Column2745"/>
      <deletedField name="Column2746"/>
      <deletedField name="Column2747"/>
      <deletedField name="Column2748"/>
      <deletedField name="Column2749"/>
      <deletedField name="Column2750"/>
      <deletedField name="Column2751"/>
      <deletedField name="Column2752"/>
      <deletedField name="Column2753"/>
      <deletedField name="Column2754"/>
      <deletedField name="Column2755"/>
      <deletedField name="Column2756"/>
      <deletedField name="Column2757"/>
      <deletedField name="Column2758"/>
      <deletedField name="Column2759"/>
      <deletedField name="Column2760"/>
      <deletedField name="Column2761"/>
      <deletedField name="Column2762"/>
      <deletedField name="Column2763"/>
      <deletedField name="Column2764"/>
      <deletedField name="Column2765"/>
      <deletedField name="Column2766"/>
      <deletedField name="Column2767"/>
      <deletedField name="Column2768"/>
      <deletedField name="Column2769"/>
      <deletedField name="Column2770"/>
      <deletedField name="Column2771"/>
      <deletedField name="Column2772"/>
      <deletedField name="Column2773"/>
      <deletedField name="Column2774"/>
      <deletedField name="Column2775"/>
      <deletedField name="Column2776"/>
      <deletedField name="Column2777"/>
      <deletedField name="Column2778"/>
      <deletedField name="Column2779"/>
      <deletedField name="Column2780"/>
      <deletedField name="Column2781"/>
      <deletedField name="Column2782"/>
      <deletedField name="Column2783"/>
      <deletedField name="Column2784"/>
      <deletedField name="Column2785"/>
      <deletedField name="Column2786"/>
      <deletedField name="Column2787"/>
      <deletedField name="Column2788"/>
      <deletedField name="Column2789"/>
      <deletedField name="Column2790"/>
      <deletedField name="Column2791"/>
      <deletedField name="Column2792"/>
      <deletedField name="Column2793"/>
      <deletedField name="Column2794"/>
      <deletedField name="Column2795"/>
      <deletedField name="Column2796"/>
      <deletedField name="Column2797"/>
      <deletedField name="Column2798"/>
      <deletedField name="Column2799"/>
      <deletedField name="Column2800"/>
      <deletedField name="Column2801"/>
      <deletedField name="Column2802"/>
      <deletedField name="Column2803"/>
      <deletedField name="Column2804"/>
      <deletedField name="Column2805"/>
      <deletedField name="Column2806"/>
      <deletedField name="Column2807"/>
      <deletedField name="Column2808"/>
      <deletedField name="Column2809"/>
      <deletedField name="Column2810"/>
      <deletedField name="Column2811"/>
      <deletedField name="Column2812"/>
      <deletedField name="Column2813"/>
      <deletedField name="Column2814"/>
      <deletedField name="Column2815"/>
      <deletedField name="Column2816"/>
      <deletedField name="Column2817"/>
      <deletedField name="Column2818"/>
      <deletedField name="Column2819"/>
      <deletedField name="Column2820"/>
      <deletedField name="Column2821"/>
      <deletedField name="Column2822"/>
      <deletedField name="Column2823"/>
      <deletedField name="Column2824"/>
      <deletedField name="Column2825"/>
      <deletedField name="Column2826"/>
      <deletedField name="Column2827"/>
      <deletedField name="Column2828"/>
      <deletedField name="Column2829"/>
      <deletedField name="Column2830"/>
      <deletedField name="Column2831"/>
      <deletedField name="Column2832"/>
      <deletedField name="Column2833"/>
      <deletedField name="Column2834"/>
      <deletedField name="Column2835"/>
      <deletedField name="Column2836"/>
      <deletedField name="Column2837"/>
      <deletedField name="Column2838"/>
      <deletedField name="Column2839"/>
      <deletedField name="Column2840"/>
      <deletedField name="Column2841"/>
      <deletedField name="Column2842"/>
      <deletedField name="Column2843"/>
      <deletedField name="Column2844"/>
      <deletedField name="Column2845"/>
      <deletedField name="Column2846"/>
      <deletedField name="Column2847"/>
      <deletedField name="Column2848"/>
      <deletedField name="Column2849"/>
      <deletedField name="Column2850"/>
      <deletedField name="Column2851"/>
      <deletedField name="Column2852"/>
      <deletedField name="Column2853"/>
      <deletedField name="Column2854"/>
      <deletedField name="Column2855"/>
      <deletedField name="Column2856"/>
      <deletedField name="Column2857"/>
      <deletedField name="Column2858"/>
      <deletedField name="Column2859"/>
      <deletedField name="Column2860"/>
      <deletedField name="Column2861"/>
      <deletedField name="Column2862"/>
      <deletedField name="Column2863"/>
      <deletedField name="Column2864"/>
      <deletedField name="Column2865"/>
      <deletedField name="Column2866"/>
      <deletedField name="Column2867"/>
      <deletedField name="Column2868"/>
      <deletedField name="Column2869"/>
      <deletedField name="Column2870"/>
      <deletedField name="Column2871"/>
      <deletedField name="Column2872"/>
      <deletedField name="Column2873"/>
      <deletedField name="Column2874"/>
      <deletedField name="Column2875"/>
      <deletedField name="Column2876"/>
      <deletedField name="Column2877"/>
      <deletedField name="Column2878"/>
      <deletedField name="Column2879"/>
      <deletedField name="Column2880"/>
      <deletedField name="Column2881"/>
      <deletedField name="Column2882"/>
      <deletedField name="Column2883"/>
      <deletedField name="Column2884"/>
      <deletedField name="Column2885"/>
      <deletedField name="Column2886"/>
      <deletedField name="Column2887"/>
      <deletedField name="Column2888"/>
      <deletedField name="Column2889"/>
      <deletedField name="Column2890"/>
      <deletedField name="Column2891"/>
      <deletedField name="Column2892"/>
      <deletedField name="Column2893"/>
      <deletedField name="Column2894"/>
      <deletedField name="Column2895"/>
      <deletedField name="Column2896"/>
      <deletedField name="Column2897"/>
      <deletedField name="Column2898"/>
      <deletedField name="Column2899"/>
      <deletedField name="Column2900"/>
      <deletedField name="Column2901"/>
      <deletedField name="Column2902"/>
      <deletedField name="Column2903"/>
      <deletedField name="Column2904"/>
      <deletedField name="Column2905"/>
      <deletedField name="Column2906"/>
      <deletedField name="Column2907"/>
      <deletedField name="Column2908"/>
      <deletedField name="Column2909"/>
      <deletedField name="Column2910"/>
      <deletedField name="Column2911"/>
      <deletedField name="Column2912"/>
      <deletedField name="Column2913"/>
      <deletedField name="Column2914"/>
      <deletedField name="Column2915"/>
      <deletedField name="Column2916"/>
      <deletedField name="Column2917"/>
      <deletedField name="Column2918"/>
      <deletedField name="Column2919"/>
      <deletedField name="Column2920"/>
      <deletedField name="Column2921"/>
      <deletedField name="Column2922"/>
      <deletedField name="Column2923"/>
      <deletedField name="Column2924"/>
      <deletedField name="Column2925"/>
      <deletedField name="Column2926"/>
      <deletedField name="Column2927"/>
      <deletedField name="Column2928"/>
      <deletedField name="Column2929"/>
      <deletedField name="Column2930"/>
      <deletedField name="Column2931"/>
      <deletedField name="Column2932"/>
      <deletedField name="Column2933"/>
      <deletedField name="Column2934"/>
      <deletedField name="Column2935"/>
      <deletedField name="Column2936"/>
      <deletedField name="Column2937"/>
      <deletedField name="Column2938"/>
      <deletedField name="Column2939"/>
      <deletedField name="Column2940"/>
      <deletedField name="Column2941"/>
      <deletedField name="Column2942"/>
      <deletedField name="Column2943"/>
      <deletedField name="Column2944"/>
      <deletedField name="Column2945"/>
      <deletedField name="Column2946"/>
      <deletedField name="Column2947"/>
      <deletedField name="Column2948"/>
      <deletedField name="Column2949"/>
      <deletedField name="Column2950"/>
      <deletedField name="Column2951"/>
      <deletedField name="Column2952"/>
      <deletedField name="Column2953"/>
      <deletedField name="Column2954"/>
      <deletedField name="Column2955"/>
      <deletedField name="Column2956"/>
      <deletedField name="Column2957"/>
      <deletedField name="Column2958"/>
      <deletedField name="Column2959"/>
      <deletedField name="Column2960"/>
      <deletedField name="Column2961"/>
      <deletedField name="Column2962"/>
      <deletedField name="Column2963"/>
      <deletedField name="Column2964"/>
      <deletedField name="Column2965"/>
      <deletedField name="Column2966"/>
      <deletedField name="Column2967"/>
      <deletedField name="Column2968"/>
      <deletedField name="Column2969"/>
      <deletedField name="Column2970"/>
      <deletedField name="Column2971"/>
      <deletedField name="Column2972"/>
      <deletedField name="Column2973"/>
      <deletedField name="Column2974"/>
      <deletedField name="Column2975"/>
      <deletedField name="Column2976"/>
      <deletedField name="Column2977"/>
      <deletedField name="Column2978"/>
      <deletedField name="Column2979"/>
      <deletedField name="Column2980"/>
      <deletedField name="Column2981"/>
      <deletedField name="Column2982"/>
      <deletedField name="Column2983"/>
      <deletedField name="Column2984"/>
      <deletedField name="Column2985"/>
      <deletedField name="Column2986"/>
      <deletedField name="Column2987"/>
      <deletedField name="Column2988"/>
      <deletedField name="Column2989"/>
      <deletedField name="Column2990"/>
      <deletedField name="Column2991"/>
      <deletedField name="Column2992"/>
      <deletedField name="Column2993"/>
      <deletedField name="Column2994"/>
      <deletedField name="Column2995"/>
      <deletedField name="Column2996"/>
      <deletedField name="Column2997"/>
      <deletedField name="Column2998"/>
      <deletedField name="Column2999"/>
      <deletedField name="Column3000"/>
      <deletedField name="Column3001"/>
      <deletedField name="Column3002"/>
      <deletedField name="Column3003"/>
      <deletedField name="Column3004"/>
      <deletedField name="Column3005"/>
      <deletedField name="Column3006"/>
      <deletedField name="Column3007"/>
      <deletedField name="Column3008"/>
      <deletedField name="Column3009"/>
      <deletedField name="Column3010"/>
      <deletedField name="Column3011"/>
      <deletedField name="Column3012"/>
      <deletedField name="Column3013"/>
      <deletedField name="Column3014"/>
      <deletedField name="Column3015"/>
      <deletedField name="Column3016"/>
      <deletedField name="Column3017"/>
      <deletedField name="Column3018"/>
      <deletedField name="Column3019"/>
      <deletedField name="Column3020"/>
      <deletedField name="Column3021"/>
      <deletedField name="Column3022"/>
      <deletedField name="Column3023"/>
      <deletedField name="Column3024"/>
      <deletedField name="Column3025"/>
      <deletedField name="Column3026"/>
      <deletedField name="Column3027"/>
      <deletedField name="Column3028"/>
      <deletedField name="Column3029"/>
      <deletedField name="Column3030"/>
      <deletedField name="Column3031"/>
      <deletedField name="Column3032"/>
      <deletedField name="Column3033"/>
      <deletedField name="Column3034"/>
      <deletedField name="Column3035"/>
      <deletedField name="Column3036"/>
      <deletedField name="Column3037"/>
      <deletedField name="Column3038"/>
      <deletedField name="Column3039"/>
      <deletedField name="Column3040"/>
      <deletedField name="Column3041"/>
      <deletedField name="Column3042"/>
      <deletedField name="Column3043"/>
      <deletedField name="Column3044"/>
      <deletedField name="Column3045"/>
      <deletedField name="Column3046"/>
      <deletedField name="Column3047"/>
      <deletedField name="Column3048"/>
      <deletedField name="Column3049"/>
      <deletedField name="Column3050"/>
      <deletedField name="Column3051"/>
      <deletedField name="Column3052"/>
      <deletedField name="Column3053"/>
      <deletedField name="Column3054"/>
      <deletedField name="Column3055"/>
      <deletedField name="Column3056"/>
      <deletedField name="Column3057"/>
      <deletedField name="Column3058"/>
      <deletedField name="Column3059"/>
      <deletedField name="Column3060"/>
      <deletedField name="Column3061"/>
      <deletedField name="Column3062"/>
      <deletedField name="Column3063"/>
      <deletedField name="Column3064"/>
      <deletedField name="Column3065"/>
      <deletedField name="Column3066"/>
      <deletedField name="Column3067"/>
      <deletedField name="Column3068"/>
      <deletedField name="Column3069"/>
      <deletedField name="Column3070"/>
      <deletedField name="Column3071"/>
      <deletedField name="Column3072"/>
      <deletedField name="Column3073"/>
      <deletedField name="Column3074"/>
      <deletedField name="Column3075"/>
      <deletedField name="Column3076"/>
      <deletedField name="Column3077"/>
      <deletedField name="Column3078"/>
      <deletedField name="Column3079"/>
      <deletedField name="Column3080"/>
      <deletedField name="Column3081"/>
      <deletedField name="Column3082"/>
      <deletedField name="Column3083"/>
      <deletedField name="Column3084"/>
      <deletedField name="Column3085"/>
      <deletedField name="Column3086"/>
      <deletedField name="Column3087"/>
      <deletedField name="Column3088"/>
      <deletedField name="Column3089"/>
      <deletedField name="Column3090"/>
      <deletedField name="Column3091"/>
      <deletedField name="Column3092"/>
      <deletedField name="Column3093"/>
      <deletedField name="Column3094"/>
      <deletedField name="Column3095"/>
      <deletedField name="Column3096"/>
      <deletedField name="Column3097"/>
      <deletedField name="Column3098"/>
      <deletedField name="Column3099"/>
      <deletedField name="Column3100"/>
      <deletedField name="Column3101"/>
      <deletedField name="Column3102"/>
      <deletedField name="Column3103"/>
      <deletedField name="Column3104"/>
      <deletedField name="Column3105"/>
      <deletedField name="Column3106"/>
      <deletedField name="Column3107"/>
      <deletedField name="Column3108"/>
      <deletedField name="Column3109"/>
      <deletedField name="Column3110"/>
      <deletedField name="Column3111"/>
      <deletedField name="Column3112"/>
      <deletedField name="Column3113"/>
      <deletedField name="Column3114"/>
      <deletedField name="Column3115"/>
      <deletedField name="Column3116"/>
      <deletedField name="Column3117"/>
      <deletedField name="Column3118"/>
      <deletedField name="Column3119"/>
      <deletedField name="Column3120"/>
      <deletedField name="Column3121"/>
      <deletedField name="Column3122"/>
      <deletedField name="Column3123"/>
      <deletedField name="Column3124"/>
      <deletedField name="Column3125"/>
      <deletedField name="Column3126"/>
      <deletedField name="Column3127"/>
      <deletedField name="Column3128"/>
      <deletedField name="Column3129"/>
      <deletedField name="Column3130"/>
      <deletedField name="Column3131"/>
      <deletedField name="Column3132"/>
      <deletedField name="Column3133"/>
      <deletedField name="Column3134"/>
      <deletedField name="Column3135"/>
      <deletedField name="Column3136"/>
      <deletedField name="Column3137"/>
      <deletedField name="Column3138"/>
      <deletedField name="Column3139"/>
      <deletedField name="Column3140"/>
      <deletedField name="Column3141"/>
      <deletedField name="Column3142"/>
      <deletedField name="Column3143"/>
      <deletedField name="Column3144"/>
      <deletedField name="Column3145"/>
      <deletedField name="Column3146"/>
      <deletedField name="Column3147"/>
      <deletedField name="Column3148"/>
      <deletedField name="Column3149"/>
      <deletedField name="Column3150"/>
      <deletedField name="Column3151"/>
      <deletedField name="Column3152"/>
      <deletedField name="Column3153"/>
      <deletedField name="Column3154"/>
      <deletedField name="Column3155"/>
      <deletedField name="Column3156"/>
      <deletedField name="Column3157"/>
      <deletedField name="Column3158"/>
      <deletedField name="Column3159"/>
      <deletedField name="Column3160"/>
      <deletedField name="Column3161"/>
      <deletedField name="Column3162"/>
      <deletedField name="Column3163"/>
      <deletedField name="Column3164"/>
      <deletedField name="Column3165"/>
      <deletedField name="Column3166"/>
      <deletedField name="Column3167"/>
      <deletedField name="Column3168"/>
      <deletedField name="Column3169"/>
      <deletedField name="Column3170"/>
      <deletedField name="Column3171"/>
      <deletedField name="Column3172"/>
      <deletedField name="Column3173"/>
      <deletedField name="Column3174"/>
      <deletedField name="Column3175"/>
      <deletedField name="Column3176"/>
      <deletedField name="Column3177"/>
      <deletedField name="Column3178"/>
      <deletedField name="Column3179"/>
      <deletedField name="Column3180"/>
      <deletedField name="Column3181"/>
      <deletedField name="Column3182"/>
      <deletedField name="Column3183"/>
      <deletedField name="Column3184"/>
      <deletedField name="Column3185"/>
      <deletedField name="Column3186"/>
      <deletedField name="Column3187"/>
      <deletedField name="Column3188"/>
      <deletedField name="Column3189"/>
      <deletedField name="Column3190"/>
      <deletedField name="Column3191"/>
      <deletedField name="Column3192"/>
      <deletedField name="Column3193"/>
      <deletedField name="Column3194"/>
      <deletedField name="Column3195"/>
      <deletedField name="Column3196"/>
      <deletedField name="Column3197"/>
      <deletedField name="Column3198"/>
      <deletedField name="Column3199"/>
      <deletedField name="Column3200"/>
      <deletedField name="Column3201"/>
      <deletedField name="Column3202"/>
      <deletedField name="Column3203"/>
      <deletedField name="Column3204"/>
      <deletedField name="Column3205"/>
      <deletedField name="Column3206"/>
      <deletedField name="Column3207"/>
      <deletedField name="Column3208"/>
      <deletedField name="Column3209"/>
      <deletedField name="Column3210"/>
      <deletedField name="Column3211"/>
      <deletedField name="Column3212"/>
      <deletedField name="Column3213"/>
      <deletedField name="Column3214"/>
      <deletedField name="Column3215"/>
      <deletedField name="Column3216"/>
      <deletedField name="Column3217"/>
      <deletedField name="Column3218"/>
      <deletedField name="Column3219"/>
      <deletedField name="Column3220"/>
      <deletedField name="Column3221"/>
      <deletedField name="Column3222"/>
      <deletedField name="Column3223"/>
      <deletedField name="Column3224"/>
      <deletedField name="Column3225"/>
      <deletedField name="Column3226"/>
      <deletedField name="Column3227"/>
      <deletedField name="Column3228"/>
      <deletedField name="Column3229"/>
      <deletedField name="Column3230"/>
      <deletedField name="Column3231"/>
      <deletedField name="Column3232"/>
      <deletedField name="Column3233"/>
      <deletedField name="Column3234"/>
      <deletedField name="Column3235"/>
      <deletedField name="Column3236"/>
      <deletedField name="Column3237"/>
      <deletedField name="Column3238"/>
      <deletedField name="Column3239"/>
      <deletedField name="Column3240"/>
      <deletedField name="Column3241"/>
      <deletedField name="Column3242"/>
      <deletedField name="Column3243"/>
      <deletedField name="Column3244"/>
      <deletedField name="Column3245"/>
      <deletedField name="Column3246"/>
      <deletedField name="Column3247"/>
      <deletedField name="Column3248"/>
      <deletedField name="Column3249"/>
      <deletedField name="Column3250"/>
      <deletedField name="Column3251"/>
      <deletedField name="Column3252"/>
      <deletedField name="Column3253"/>
      <deletedField name="Column3254"/>
      <deletedField name="Column3255"/>
      <deletedField name="Column3256"/>
      <deletedField name="Column3257"/>
      <deletedField name="Column3258"/>
      <deletedField name="Column3259"/>
      <deletedField name="Column3260"/>
      <deletedField name="Column3261"/>
      <deletedField name="Column3262"/>
      <deletedField name="Column3263"/>
      <deletedField name="Column3264"/>
      <deletedField name="Column3265"/>
      <deletedField name="Column3266"/>
      <deletedField name="Column3267"/>
      <deletedField name="Column3268"/>
      <deletedField name="Column3269"/>
      <deletedField name="Column3270"/>
      <deletedField name="Column3271"/>
      <deletedField name="Column3272"/>
      <deletedField name="Column3273"/>
      <deletedField name="Column3274"/>
      <deletedField name="Column3275"/>
      <deletedField name="Column3276"/>
      <deletedField name="Column3277"/>
      <deletedField name="Column3278"/>
      <deletedField name="Column3279"/>
      <deletedField name="Column3280"/>
      <deletedField name="Column3281"/>
      <deletedField name="Column3282"/>
      <deletedField name="Column3283"/>
      <deletedField name="Column3284"/>
      <deletedField name="Column3285"/>
      <deletedField name="Column3286"/>
      <deletedField name="Column3287"/>
      <deletedField name="Column3288"/>
      <deletedField name="Column3289"/>
      <deletedField name="Column3290"/>
      <deletedField name="Column3291"/>
      <deletedField name="Column3292"/>
      <deletedField name="Column3293"/>
      <deletedField name="Column3294"/>
      <deletedField name="Column3295"/>
      <deletedField name="Column3296"/>
      <deletedField name="Column3297"/>
      <deletedField name="Column3298"/>
      <deletedField name="Column3299"/>
      <deletedField name="Column3300"/>
      <deletedField name="Column3301"/>
      <deletedField name="Column3302"/>
      <deletedField name="Column3303"/>
      <deletedField name="Column3304"/>
      <deletedField name="Column3305"/>
      <deletedField name="Column3306"/>
      <deletedField name="Column3307"/>
      <deletedField name="Column3308"/>
      <deletedField name="Column3309"/>
      <deletedField name="Column3310"/>
      <deletedField name="Column3311"/>
      <deletedField name="Column3312"/>
      <deletedField name="Column3313"/>
      <deletedField name="Column3314"/>
      <deletedField name="Column3315"/>
      <deletedField name="Column3316"/>
      <deletedField name="Column3317"/>
      <deletedField name="Column3318"/>
      <deletedField name="Column3319"/>
      <deletedField name="Column3320"/>
      <deletedField name="Column3321"/>
      <deletedField name="Column3322"/>
      <deletedField name="Column3323"/>
      <deletedField name="Column3324"/>
      <deletedField name="Column3325"/>
      <deletedField name="Column3326"/>
      <deletedField name="Column3327"/>
      <deletedField name="Column3328"/>
      <deletedField name="Column3329"/>
      <deletedField name="Column3330"/>
      <deletedField name="Column3331"/>
      <deletedField name="Column3332"/>
      <deletedField name="Column3333"/>
      <deletedField name="Column3334"/>
      <deletedField name="Column3335"/>
      <deletedField name="Column3336"/>
      <deletedField name="Column3337"/>
      <deletedField name="Column3338"/>
      <deletedField name="Column3339"/>
      <deletedField name="Column3340"/>
      <deletedField name="Column3341"/>
      <deletedField name="Column3342"/>
      <deletedField name="Column3343"/>
      <deletedField name="Column3344"/>
      <deletedField name="Column3345"/>
      <deletedField name="Column3346"/>
      <deletedField name="Column3347"/>
      <deletedField name="Column3348"/>
      <deletedField name="Column3349"/>
      <deletedField name="Column3350"/>
      <deletedField name="Column3351"/>
      <deletedField name="Column3352"/>
      <deletedField name="Column3353"/>
      <deletedField name="Column3354"/>
      <deletedField name="Column3355"/>
      <deletedField name="Column3356"/>
      <deletedField name="Column3357"/>
      <deletedField name="Column3358"/>
      <deletedField name="Column3359"/>
      <deletedField name="Column3360"/>
      <deletedField name="Column3361"/>
      <deletedField name="Column3362"/>
      <deletedField name="Column3363"/>
      <deletedField name="Column3364"/>
      <deletedField name="Column3365"/>
      <deletedField name="Column3366"/>
      <deletedField name="Column3367"/>
      <deletedField name="Column3368"/>
      <deletedField name="Column3369"/>
      <deletedField name="Column3370"/>
      <deletedField name="Column3371"/>
      <deletedField name="Column3372"/>
      <deletedField name="Column3373"/>
      <deletedField name="Column3374"/>
      <deletedField name="Column3375"/>
      <deletedField name="Column3376"/>
      <deletedField name="Column3377"/>
      <deletedField name="Column3378"/>
      <deletedField name="Column3379"/>
      <deletedField name="Column3380"/>
      <deletedField name="Column3381"/>
      <deletedField name="Column3382"/>
      <deletedField name="Column3383"/>
      <deletedField name="Column3384"/>
      <deletedField name="Column3385"/>
      <deletedField name="Column3386"/>
      <deletedField name="Column3387"/>
      <deletedField name="Column3388"/>
      <deletedField name="Column3389"/>
      <deletedField name="Column3390"/>
      <deletedField name="Column3391"/>
      <deletedField name="Column3392"/>
      <deletedField name="Column3393"/>
      <deletedField name="Column3394"/>
      <deletedField name="Column3395"/>
      <deletedField name="Column3396"/>
      <deletedField name="Column3397"/>
      <deletedField name="Column3398"/>
      <deletedField name="Column3399"/>
      <deletedField name="Column3400"/>
      <deletedField name="Column3401"/>
      <deletedField name="Column3402"/>
      <deletedField name="Column3403"/>
      <deletedField name="Column3404"/>
      <deletedField name="Column3405"/>
      <deletedField name="Column3406"/>
      <deletedField name="Column3407"/>
      <deletedField name="Column3408"/>
      <deletedField name="Column3409"/>
      <deletedField name="Column3410"/>
      <deletedField name="Column3411"/>
      <deletedField name="Column3412"/>
      <deletedField name="Column3413"/>
      <deletedField name="Column3414"/>
      <deletedField name="Column3415"/>
      <deletedField name="Column3416"/>
      <deletedField name="Column3417"/>
      <deletedField name="Column3418"/>
      <deletedField name="Column3419"/>
      <deletedField name="Column3420"/>
      <deletedField name="Column3421"/>
      <deletedField name="Column3422"/>
      <deletedField name="Column3423"/>
      <deletedField name="Column3424"/>
      <deletedField name="Column3425"/>
      <deletedField name="Column3426"/>
      <deletedField name="Column3427"/>
      <deletedField name="Column3428"/>
      <deletedField name="Column3429"/>
      <deletedField name="Column3430"/>
      <deletedField name="Column3431"/>
      <deletedField name="Column3432"/>
      <deletedField name="Column3433"/>
      <deletedField name="Column3434"/>
      <deletedField name="Column3435"/>
      <deletedField name="Column3436"/>
      <deletedField name="Column3437"/>
      <deletedField name="Column3438"/>
      <deletedField name="Column3439"/>
      <deletedField name="Column3440"/>
      <deletedField name="Column3441"/>
      <deletedField name="Column3442"/>
      <deletedField name="Column3443"/>
      <deletedField name="Column3444"/>
      <deletedField name="Column3445"/>
      <deletedField name="Column3446"/>
      <deletedField name="Column3447"/>
      <deletedField name="Column3448"/>
      <deletedField name="Column3449"/>
      <deletedField name="Column3450"/>
      <deletedField name="Column3451"/>
      <deletedField name="Column3452"/>
      <deletedField name="Column3453"/>
      <deletedField name="Column3454"/>
      <deletedField name="Column3455"/>
      <deletedField name="Column3456"/>
      <deletedField name="Column3457"/>
      <deletedField name="Column3458"/>
      <deletedField name="Column3459"/>
      <deletedField name="Column3460"/>
      <deletedField name="Column3461"/>
      <deletedField name="Column3462"/>
      <deletedField name="Column3463"/>
      <deletedField name="Column3464"/>
      <deletedField name="Column3465"/>
      <deletedField name="Column3466"/>
      <deletedField name="Column3467"/>
      <deletedField name="Column3468"/>
      <deletedField name="Column3469"/>
      <deletedField name="Column3470"/>
      <deletedField name="Column3471"/>
      <deletedField name="Column3472"/>
      <deletedField name="Column3473"/>
      <deletedField name="Column3474"/>
      <deletedField name="Column3475"/>
      <deletedField name="Column3476"/>
      <deletedField name="Column3477"/>
      <deletedField name="Column3478"/>
      <deletedField name="Column3479"/>
      <deletedField name="Column3480"/>
      <deletedField name="Column3481"/>
      <deletedField name="Column3482"/>
      <deletedField name="Column3483"/>
      <deletedField name="Column3484"/>
      <deletedField name="Column3485"/>
      <deletedField name="Column3486"/>
      <deletedField name="Column3487"/>
      <deletedField name="Column3488"/>
      <deletedField name="Column3489"/>
      <deletedField name="Column3490"/>
      <deletedField name="Column3491"/>
      <deletedField name="Column3492"/>
      <deletedField name="Column3493"/>
      <deletedField name="Column3494"/>
      <deletedField name="Column3495"/>
      <deletedField name="Column3496"/>
      <deletedField name="Column3497"/>
      <deletedField name="Column3498"/>
      <deletedField name="Column3499"/>
      <deletedField name="Column3500"/>
      <deletedField name="Column3501"/>
      <deletedField name="Column3502"/>
      <deletedField name="Column3503"/>
      <deletedField name="Column3504"/>
      <deletedField name="Column3505"/>
      <deletedField name="Column3506"/>
      <deletedField name="Column3507"/>
      <deletedField name="Column3508"/>
      <deletedField name="Column3509"/>
      <deletedField name="Column3510"/>
      <deletedField name="Column3511"/>
      <deletedField name="Column3512"/>
      <deletedField name="Column3513"/>
      <deletedField name="Column3514"/>
      <deletedField name="Column3515"/>
      <deletedField name="Column3516"/>
      <deletedField name="Column3517"/>
      <deletedField name="Column3518"/>
      <deletedField name="Column3519"/>
      <deletedField name="Column3520"/>
      <deletedField name="Column3521"/>
      <deletedField name="Column3522"/>
      <deletedField name="Column3523"/>
      <deletedField name="Column3524"/>
      <deletedField name="Column3525"/>
      <deletedField name="Column3526"/>
      <deletedField name="Column3527"/>
      <deletedField name="Column3528"/>
      <deletedField name="Column3529"/>
      <deletedField name="Column3530"/>
      <deletedField name="Column3531"/>
      <deletedField name="Column3532"/>
      <deletedField name="Column3533"/>
      <deletedField name="Column3534"/>
      <deletedField name="Column3535"/>
      <deletedField name="Column3536"/>
      <deletedField name="Column3537"/>
      <deletedField name="Column3538"/>
      <deletedField name="Column3539"/>
      <deletedField name="Column3540"/>
      <deletedField name="Column3541"/>
      <deletedField name="Column3542"/>
      <deletedField name="Column3543"/>
      <deletedField name="Column3544"/>
      <deletedField name="Column3545"/>
      <deletedField name="Column3546"/>
      <deletedField name="Column3547"/>
      <deletedField name="Column3548"/>
      <deletedField name="Column3549"/>
      <deletedField name="Column3550"/>
      <deletedField name="Column3551"/>
      <deletedField name="Column3552"/>
      <deletedField name="Column3553"/>
      <deletedField name="Column3554"/>
      <deletedField name="Column3555"/>
      <deletedField name="Column3556"/>
      <deletedField name="Column3557"/>
      <deletedField name="Column3558"/>
      <deletedField name="Column3559"/>
      <deletedField name="Column3560"/>
      <deletedField name="Column3561"/>
      <deletedField name="Column3562"/>
      <deletedField name="Column3563"/>
      <deletedField name="Column3564"/>
      <deletedField name="Column3565"/>
      <deletedField name="Column3566"/>
      <deletedField name="Column3567"/>
      <deletedField name="Column3568"/>
      <deletedField name="Column3569"/>
      <deletedField name="Column3570"/>
      <deletedField name="Column3571"/>
      <deletedField name="Column3572"/>
      <deletedField name="Column3573"/>
      <deletedField name="Column3574"/>
      <deletedField name="Column3575"/>
      <deletedField name="Column3576"/>
      <deletedField name="Column3577"/>
      <deletedField name="Column3578"/>
      <deletedField name="Column3579"/>
      <deletedField name="Column3580"/>
      <deletedField name="Column3581"/>
      <deletedField name="Column3582"/>
      <deletedField name="Column3583"/>
      <deletedField name="Column3584"/>
      <deletedField name="Column3585"/>
      <deletedField name="Column3586"/>
      <deletedField name="Column3587"/>
      <deletedField name="Column3588"/>
      <deletedField name="Column3589"/>
      <deletedField name="Column3590"/>
      <deletedField name="Column3591"/>
      <deletedField name="Column3592"/>
      <deletedField name="Column3593"/>
      <deletedField name="Column3594"/>
      <deletedField name="Column3595"/>
      <deletedField name="Column3596"/>
      <deletedField name="Column3597"/>
      <deletedField name="Column3598"/>
      <deletedField name="Column3599"/>
      <deletedField name="Column3600"/>
      <deletedField name="Column3601"/>
      <deletedField name="Column3602"/>
      <deletedField name="Column3603"/>
      <deletedField name="Column3604"/>
      <deletedField name="Column3605"/>
      <deletedField name="Column3606"/>
      <deletedField name="Column3607"/>
      <deletedField name="Column3608"/>
      <deletedField name="Column3609"/>
      <deletedField name="Column3610"/>
      <deletedField name="Column3611"/>
      <deletedField name="Column3612"/>
      <deletedField name="Column3613"/>
      <deletedField name="Column3614"/>
      <deletedField name="Column3615"/>
      <deletedField name="Column3616"/>
      <deletedField name="Column3617"/>
      <deletedField name="Column3618"/>
      <deletedField name="Column3619"/>
      <deletedField name="Column3620"/>
      <deletedField name="Column3621"/>
      <deletedField name="Column3622"/>
      <deletedField name="Column3623"/>
      <deletedField name="Column3624"/>
      <deletedField name="Column3625"/>
      <deletedField name="Column3626"/>
      <deletedField name="Column3627"/>
      <deletedField name="Column3628"/>
      <deletedField name="Column3629"/>
      <deletedField name="Column3630"/>
      <deletedField name="Column3631"/>
      <deletedField name="Column3632"/>
      <deletedField name="Column3633"/>
      <deletedField name="Column3634"/>
      <deletedField name="Column3635"/>
      <deletedField name="Column3636"/>
      <deletedField name="Column3637"/>
      <deletedField name="Column3638"/>
      <deletedField name="Column3639"/>
      <deletedField name="Column3640"/>
      <deletedField name="Column3641"/>
      <deletedField name="Column3642"/>
      <deletedField name="Column3643"/>
      <deletedField name="Column3644"/>
      <deletedField name="Column3645"/>
      <deletedField name="Column3646"/>
      <deletedField name="Column3647"/>
      <deletedField name="Column3648"/>
      <deletedField name="Column3649"/>
      <deletedField name="Column3650"/>
      <deletedField name="Column3651"/>
      <deletedField name="Column3652"/>
      <deletedField name="Column3653"/>
      <deletedField name="Column3654"/>
      <deletedField name="Column3655"/>
      <deletedField name="Column3656"/>
      <deletedField name="Column3657"/>
      <deletedField name="Column3658"/>
      <deletedField name="Column3659"/>
      <deletedField name="Column3660"/>
      <deletedField name="Column3661"/>
      <deletedField name="Column3662"/>
      <deletedField name="Column3663"/>
      <deletedField name="Column3664"/>
      <deletedField name="Column3665"/>
      <deletedField name="Column3666"/>
      <deletedField name="Column3667"/>
      <deletedField name="Column3668"/>
      <deletedField name="Column3669"/>
      <deletedField name="Column3670"/>
      <deletedField name="Column3671"/>
      <deletedField name="Column3672"/>
      <deletedField name="Column3673"/>
      <deletedField name="Column3674"/>
      <deletedField name="Column3675"/>
      <deletedField name="Column3676"/>
      <deletedField name="Column3677"/>
      <deletedField name="Column3678"/>
      <deletedField name="Column3679"/>
      <deletedField name="Column3680"/>
      <deletedField name="Column3681"/>
      <deletedField name="Column3682"/>
      <deletedField name="Column3683"/>
      <deletedField name="Column3684"/>
      <deletedField name="Column3685"/>
      <deletedField name="Column3686"/>
      <deletedField name="Column3687"/>
      <deletedField name="Column3688"/>
      <deletedField name="Column3689"/>
      <deletedField name="Column3690"/>
      <deletedField name="Column3691"/>
      <deletedField name="Column3692"/>
      <deletedField name="Column3693"/>
      <deletedField name="Column3694"/>
      <deletedField name="Column3695"/>
      <deletedField name="Column3696"/>
      <deletedField name="Column3697"/>
      <deletedField name="Column3698"/>
      <deletedField name="Column3699"/>
      <deletedField name="Column3700"/>
      <deletedField name="Column3701"/>
      <deletedField name="Column3702"/>
      <deletedField name="Column3703"/>
      <deletedField name="Column3704"/>
      <deletedField name="Column3705"/>
      <deletedField name="Column3706"/>
      <deletedField name="Column3707"/>
      <deletedField name="Column3708"/>
      <deletedField name="Column3709"/>
      <deletedField name="Column3710"/>
      <deletedField name="Column3711"/>
      <deletedField name="Column3712"/>
      <deletedField name="Column3713"/>
      <deletedField name="Column3714"/>
      <deletedField name="Column3715"/>
      <deletedField name="Column3716"/>
      <deletedField name="Column3717"/>
      <deletedField name="Column3718"/>
      <deletedField name="Column3719"/>
      <deletedField name="Column3720"/>
      <deletedField name="Column3721"/>
      <deletedField name="Column3722"/>
      <deletedField name="Column3723"/>
      <deletedField name="Column3724"/>
      <deletedField name="Column3725"/>
      <deletedField name="Column3726"/>
      <deletedField name="Column3727"/>
      <deletedField name="Column3728"/>
      <deletedField name="Column3729"/>
      <deletedField name="Column3730"/>
      <deletedField name="Column3731"/>
      <deletedField name="Column3732"/>
      <deletedField name="Column3733"/>
      <deletedField name="Column3734"/>
      <deletedField name="Column3735"/>
      <deletedField name="Column3736"/>
      <deletedField name="Column3737"/>
      <deletedField name="Column3738"/>
      <deletedField name="Column3739"/>
      <deletedField name="Column3740"/>
      <deletedField name="Column3741"/>
      <deletedField name="Column3742"/>
      <deletedField name="Column3743"/>
      <deletedField name="Column3744"/>
      <deletedField name="Column3745"/>
      <deletedField name="Column3746"/>
      <deletedField name="Column3747"/>
      <deletedField name="Column3748"/>
      <deletedField name="Column3749"/>
      <deletedField name="Column3750"/>
      <deletedField name="Column3751"/>
      <deletedField name="Column3752"/>
      <deletedField name="Column3753"/>
      <deletedField name="Column3754"/>
      <deletedField name="Column3755"/>
      <deletedField name="Column3756"/>
      <deletedField name="Column3757"/>
      <deletedField name="Column3758"/>
      <deletedField name="Column3759"/>
      <deletedField name="Column3760"/>
      <deletedField name="Column3761"/>
      <deletedField name="Column3762"/>
      <deletedField name="Column3763"/>
      <deletedField name="Column3764"/>
      <deletedField name="Column3765"/>
      <deletedField name="Column3766"/>
      <deletedField name="Column3767"/>
      <deletedField name="Column3768"/>
      <deletedField name="Column3769"/>
      <deletedField name="Column3770"/>
      <deletedField name="Column3771"/>
      <deletedField name="Column3772"/>
      <deletedField name="Column3773"/>
      <deletedField name="Column3774"/>
      <deletedField name="Column3775"/>
      <deletedField name="Column3776"/>
      <deletedField name="Column3777"/>
      <deletedField name="Column3778"/>
      <deletedField name="Column3779"/>
      <deletedField name="Column3780"/>
      <deletedField name="Column3781"/>
      <deletedField name="Column3782"/>
      <deletedField name="Column3783"/>
      <deletedField name="Column3784"/>
      <deletedField name="Column3785"/>
      <deletedField name="Column3786"/>
      <deletedField name="Column3787"/>
      <deletedField name="Column3788"/>
      <deletedField name="Column3789"/>
      <deletedField name="Column3790"/>
      <deletedField name="Column3791"/>
      <deletedField name="Column3792"/>
      <deletedField name="Column3793"/>
      <deletedField name="Column3794"/>
      <deletedField name="Column3795"/>
      <deletedField name="Column3796"/>
      <deletedField name="Column3797"/>
      <deletedField name="Column3798"/>
      <deletedField name="Column3799"/>
      <deletedField name="Column3800"/>
      <deletedField name="Column3801"/>
      <deletedField name="Column3802"/>
      <deletedField name="Column3803"/>
      <deletedField name="Column3804"/>
      <deletedField name="Column3805"/>
      <deletedField name="Column3806"/>
      <deletedField name="Column3807"/>
      <deletedField name="Column3808"/>
      <deletedField name="Column3809"/>
      <deletedField name="Column3810"/>
      <deletedField name="Column3811"/>
      <deletedField name="Column3812"/>
      <deletedField name="Column3813"/>
      <deletedField name="Column3814"/>
      <deletedField name="Column3815"/>
      <deletedField name="Column3816"/>
      <deletedField name="Column3817"/>
      <deletedField name="Column3818"/>
      <deletedField name="Column3819"/>
      <deletedField name="Column3820"/>
      <deletedField name="Column3821"/>
      <deletedField name="Column3822"/>
      <deletedField name="Column3823"/>
      <deletedField name="Column3824"/>
      <deletedField name="Column3825"/>
      <deletedField name="Column3826"/>
      <deletedField name="Column3827"/>
      <deletedField name="Column3828"/>
      <deletedField name="Column3829"/>
      <deletedField name="Column3830"/>
      <deletedField name="Column3831"/>
      <deletedField name="Column3832"/>
      <deletedField name="Column3833"/>
      <deletedField name="Column3834"/>
      <deletedField name="Column3835"/>
      <deletedField name="Column3836"/>
      <deletedField name="Column3837"/>
      <deletedField name="Column3838"/>
      <deletedField name="Column3839"/>
      <deletedField name="Column3840"/>
      <deletedField name="Column3841"/>
      <deletedField name="Column3842"/>
      <deletedField name="Column3843"/>
      <deletedField name="Column3844"/>
      <deletedField name="Column3845"/>
      <deletedField name="Column3846"/>
      <deletedField name="Column3847"/>
      <deletedField name="Column3848"/>
      <deletedField name="Column3849"/>
      <deletedField name="Column3850"/>
      <deletedField name="Column3851"/>
      <deletedField name="Column3852"/>
      <deletedField name="Column3853"/>
      <deletedField name="Column3854"/>
      <deletedField name="Column3855"/>
      <deletedField name="Column3856"/>
      <deletedField name="Column3857"/>
      <deletedField name="Column3858"/>
      <deletedField name="Column3859"/>
      <deletedField name="Column3860"/>
      <deletedField name="Column3861"/>
      <deletedField name="Column3862"/>
      <deletedField name="Column3863"/>
      <deletedField name="Column3864"/>
      <deletedField name="Column3865"/>
      <deletedField name="Column3866"/>
      <deletedField name="Column3867"/>
      <deletedField name="Column3868"/>
      <deletedField name="Column3869"/>
      <deletedField name="Column3870"/>
      <deletedField name="Column3871"/>
      <deletedField name="Column3872"/>
      <deletedField name="Column3873"/>
      <deletedField name="Column3874"/>
      <deletedField name="Column3875"/>
      <deletedField name="Column3876"/>
      <deletedField name="Column3877"/>
      <deletedField name="Column3878"/>
      <deletedField name="Column3879"/>
      <deletedField name="Column3880"/>
      <deletedField name="Column3881"/>
      <deletedField name="Column3882"/>
      <deletedField name="Column3883"/>
      <deletedField name="Column3884"/>
      <deletedField name="Column3885"/>
      <deletedField name="Column3886"/>
      <deletedField name="Column3887"/>
      <deletedField name="Column3888"/>
      <deletedField name="Column3889"/>
      <deletedField name="Column3890"/>
      <deletedField name="Column3891"/>
      <deletedField name="Column3892"/>
      <deletedField name="Column3893"/>
      <deletedField name="Column3894"/>
      <deletedField name="Column3895"/>
      <deletedField name="Column3896"/>
      <deletedField name="Column3897"/>
      <deletedField name="Column3898"/>
      <deletedField name="Column3899"/>
      <deletedField name="Column3900"/>
      <deletedField name="Column3901"/>
      <deletedField name="Column3902"/>
      <deletedField name="Column3903"/>
      <deletedField name="Column3904"/>
      <deletedField name="Column3905"/>
      <deletedField name="Column3906"/>
      <deletedField name="Column3907"/>
      <deletedField name="Column3908"/>
      <deletedField name="Column3909"/>
      <deletedField name="Column3910"/>
      <deletedField name="Column3911"/>
      <deletedField name="Column3912"/>
      <deletedField name="Column3913"/>
      <deletedField name="Column3914"/>
      <deletedField name="Column3915"/>
      <deletedField name="Column3916"/>
      <deletedField name="Column3917"/>
      <deletedField name="Column3918"/>
      <deletedField name="Column3919"/>
      <deletedField name="Column3920"/>
      <deletedField name="Column3921"/>
      <deletedField name="Column3922"/>
      <deletedField name="Column3923"/>
      <deletedField name="Column3924"/>
      <deletedField name="Column3925"/>
      <deletedField name="Column3926"/>
      <deletedField name="Column3927"/>
      <deletedField name="Column3928"/>
      <deletedField name="Column3929"/>
      <deletedField name="Column3930"/>
      <deletedField name="Column3931"/>
      <deletedField name="Column3932"/>
      <deletedField name="Column3933"/>
      <deletedField name="Column3934"/>
      <deletedField name="Column3935"/>
      <deletedField name="Column3936"/>
      <deletedField name="Column3937"/>
      <deletedField name="Column3938"/>
      <deletedField name="Column3939"/>
      <deletedField name="Column3940"/>
      <deletedField name="Column3941"/>
      <deletedField name="Column3942"/>
      <deletedField name="Column3943"/>
      <deletedField name="Column3944"/>
      <deletedField name="Column3945"/>
      <deletedField name="Column3946"/>
      <deletedField name="Column3947"/>
      <deletedField name="Column3948"/>
      <deletedField name="Column3949"/>
      <deletedField name="Column3950"/>
      <deletedField name="Column3951"/>
      <deletedField name="Column3952"/>
      <deletedField name="Column3953"/>
      <deletedField name="Column3954"/>
      <deletedField name="Column3955"/>
      <deletedField name="Column3956"/>
      <deletedField name="Column3957"/>
      <deletedField name="Column3958"/>
      <deletedField name="Column3959"/>
      <deletedField name="Column3960"/>
      <deletedField name="Column3961"/>
      <deletedField name="Column3962"/>
      <deletedField name="Column3963"/>
      <deletedField name="Column3964"/>
      <deletedField name="Column3965"/>
      <deletedField name="Column3966"/>
      <deletedField name="Column3967"/>
      <deletedField name="Column3968"/>
      <deletedField name="Column3969"/>
      <deletedField name="Column3970"/>
      <deletedField name="Column3971"/>
      <deletedField name="Column3972"/>
      <deletedField name="Column3973"/>
      <deletedField name="Column3974"/>
      <deletedField name="Column3975"/>
      <deletedField name="Column3976"/>
      <deletedField name="Column3977"/>
      <deletedField name="Column3978"/>
      <deletedField name="Column3979"/>
      <deletedField name="Column3980"/>
      <deletedField name="Column3981"/>
      <deletedField name="Column3982"/>
      <deletedField name="Column3983"/>
      <deletedField name="Column3984"/>
      <deletedField name="Column3985"/>
      <deletedField name="Column3986"/>
      <deletedField name="Column3987"/>
      <deletedField name="Column3988"/>
      <deletedField name="Column3989"/>
      <deletedField name="Column3990"/>
      <deletedField name="Column3991"/>
      <deletedField name="Column3992"/>
      <deletedField name="Column3993"/>
      <deletedField name="Column3994"/>
      <deletedField name="Column3995"/>
      <deletedField name="Column3996"/>
      <deletedField name="Column3997"/>
      <deletedField name="Column3998"/>
      <deletedField name="Column3999"/>
      <deletedField name="Column4000"/>
      <deletedField name="Column4001"/>
      <deletedField name="Column4002"/>
      <deletedField name="Column4003"/>
      <deletedField name="Column4004"/>
      <deletedField name="Column4005"/>
      <deletedField name="Column4006"/>
      <deletedField name="Column4007"/>
      <deletedField name="Column4008"/>
      <deletedField name="Column4009"/>
      <deletedField name="Column4010"/>
      <deletedField name="Column4011"/>
      <deletedField name="Column4012"/>
      <deletedField name="Column4013"/>
      <deletedField name="Column4014"/>
      <deletedField name="Column4015"/>
      <deletedField name="Column4016"/>
      <deletedField name="Column4017"/>
      <deletedField name="Column4018"/>
      <deletedField name="Column4019"/>
      <deletedField name="Column4020"/>
      <deletedField name="Column4021"/>
      <deletedField name="Column4022"/>
      <deletedField name="Column4023"/>
      <deletedField name="Column4024"/>
      <deletedField name="Column4025"/>
      <deletedField name="Column4026"/>
      <deletedField name="Column4027"/>
      <deletedField name="Column4028"/>
      <deletedField name="Column4029"/>
      <deletedField name="Column4030"/>
      <deletedField name="Column4031"/>
      <deletedField name="Column4032"/>
      <deletedField name="Column4033"/>
      <deletedField name="Column4034"/>
      <deletedField name="Column4035"/>
      <deletedField name="Column4036"/>
      <deletedField name="Column4037"/>
      <deletedField name="Column4038"/>
      <deletedField name="Column4039"/>
      <deletedField name="Column4040"/>
      <deletedField name="Column4041"/>
      <deletedField name="Column4042"/>
      <deletedField name="Column4043"/>
      <deletedField name="Column4044"/>
      <deletedField name="Column4045"/>
      <deletedField name="Column4046"/>
      <deletedField name="Column4047"/>
      <deletedField name="Column4048"/>
      <deletedField name="Column4049"/>
      <deletedField name="Column4050"/>
      <deletedField name="Column4051"/>
      <deletedField name="Column4052"/>
      <deletedField name="Column4053"/>
      <deletedField name="Column4054"/>
      <deletedField name="Column4055"/>
      <deletedField name="Column4056"/>
      <deletedField name="Column4057"/>
      <deletedField name="Column4058"/>
      <deletedField name="Column4059"/>
      <deletedField name="Column4060"/>
      <deletedField name="Column4061"/>
      <deletedField name="Column4062"/>
      <deletedField name="Column4063"/>
      <deletedField name="Column4064"/>
      <deletedField name="Column4065"/>
      <deletedField name="Column4066"/>
      <deletedField name="Column4067"/>
      <deletedField name="Column4068"/>
      <deletedField name="Column4069"/>
      <deletedField name="Column4070"/>
      <deletedField name="Column4071"/>
      <deletedField name="Column4072"/>
      <deletedField name="Column4073"/>
      <deletedField name="Column4074"/>
      <deletedField name="Column4075"/>
      <deletedField name="Column4076"/>
      <deletedField name="Column4077"/>
      <deletedField name="Column4078"/>
      <deletedField name="Column4079"/>
      <deletedField name="Column4080"/>
      <deletedField name="Column4081"/>
      <deletedField name="Column4082"/>
      <deletedField name="Column4083"/>
      <deletedField name="Column4084"/>
      <deletedField name="Column4085"/>
      <deletedField name="Column4086"/>
      <deletedField name="Column4087"/>
      <deletedField name="Column4088"/>
      <deletedField name="Column4089"/>
      <deletedField name="Column4090"/>
      <deletedField name="Column4091"/>
      <deletedField name="Column4092"/>
      <deletedField name="Column4093"/>
      <deletedField name="Column4094"/>
      <deletedField name="Column4095"/>
      <deletedField name="Column4096"/>
      <deletedField name="Column4097"/>
      <deletedField name="Column4098"/>
      <deletedField name="Column4099"/>
      <deletedField name="Column4100"/>
      <deletedField name="Column4101"/>
      <deletedField name="Column4102"/>
      <deletedField name="Column4103"/>
      <deletedField name="Column4104"/>
      <deletedField name="Column4105"/>
      <deletedField name="Column4106"/>
      <deletedField name="Column4107"/>
      <deletedField name="Column4108"/>
      <deletedField name="Column4109"/>
      <deletedField name="Column4110"/>
      <deletedField name="Column4111"/>
      <deletedField name="Column4112"/>
      <deletedField name="Column4113"/>
      <deletedField name="Column4114"/>
      <deletedField name="Column4115"/>
      <deletedField name="Column4116"/>
      <deletedField name="Column4117"/>
      <deletedField name="Column4118"/>
      <deletedField name="Column4119"/>
      <deletedField name="Column4120"/>
      <deletedField name="Column4121"/>
      <deletedField name="Column4122"/>
      <deletedField name="Column4123"/>
      <deletedField name="Column4124"/>
      <deletedField name="Column4125"/>
      <deletedField name="Column4126"/>
      <deletedField name="Column4127"/>
      <deletedField name="Column4128"/>
      <deletedField name="Column4129"/>
      <deletedField name="Column4130"/>
      <deletedField name="Column4131"/>
      <deletedField name="Column4132"/>
      <deletedField name="Column4133"/>
      <deletedField name="Column4134"/>
      <deletedField name="Column4135"/>
      <deletedField name="Column4136"/>
      <deletedField name="Column4137"/>
      <deletedField name="Column4138"/>
      <deletedField name="Column4139"/>
      <deletedField name="Column4140"/>
      <deletedField name="Column4141"/>
      <deletedField name="Column4142"/>
      <deletedField name="Column4143"/>
      <deletedField name="Column4144"/>
      <deletedField name="Column4145"/>
      <deletedField name="Column4146"/>
      <deletedField name="Column4147"/>
      <deletedField name="Column4148"/>
      <deletedField name="Column4149"/>
      <deletedField name="Column4150"/>
      <deletedField name="Column4151"/>
      <deletedField name="Column4152"/>
      <deletedField name="Column4153"/>
      <deletedField name="Column4154"/>
      <deletedField name="Column4155"/>
      <deletedField name="Column4156"/>
      <deletedField name="Column4157"/>
      <deletedField name="Column4158"/>
      <deletedField name="Column4159"/>
      <deletedField name="Column4160"/>
      <deletedField name="Column4161"/>
      <deletedField name="Column4162"/>
      <deletedField name="Column4163"/>
      <deletedField name="Column4164"/>
      <deletedField name="Column4165"/>
      <deletedField name="Column4166"/>
      <deletedField name="Column4167"/>
      <deletedField name="Column4168"/>
      <deletedField name="Column4169"/>
      <deletedField name="Column4170"/>
      <deletedField name="Column4171"/>
      <deletedField name="Column4172"/>
      <deletedField name="Column4173"/>
      <deletedField name="Column4174"/>
      <deletedField name="Column4175"/>
      <deletedField name="Column4176"/>
      <deletedField name="Column4177"/>
      <deletedField name="Column4178"/>
      <deletedField name="Column4179"/>
      <deletedField name="Column4180"/>
      <deletedField name="Column4181"/>
      <deletedField name="Column4182"/>
      <deletedField name="Column4183"/>
      <deletedField name="Column4184"/>
      <deletedField name="Column4185"/>
      <deletedField name="Column4186"/>
      <deletedField name="Column4187"/>
      <deletedField name="Column4188"/>
      <deletedField name="Column4189"/>
      <deletedField name="Column4190"/>
      <deletedField name="Column4191"/>
      <deletedField name="Column4192"/>
      <deletedField name="Column4193"/>
      <deletedField name="Column4194"/>
      <deletedField name="Column4195"/>
      <deletedField name="Column4196"/>
      <deletedField name="Column4197"/>
      <deletedField name="Column4198"/>
      <deletedField name="Column4199"/>
      <deletedField name="Column4200"/>
      <deletedField name="Column4201"/>
      <deletedField name="Column4202"/>
      <deletedField name="Column4203"/>
      <deletedField name="Column4204"/>
      <deletedField name="Column4205"/>
      <deletedField name="Column4206"/>
      <deletedField name="Column4207"/>
      <deletedField name="Column4208"/>
      <deletedField name="Column4209"/>
      <deletedField name="Column4210"/>
      <deletedField name="Column4211"/>
      <deletedField name="Column4212"/>
      <deletedField name="Column4213"/>
      <deletedField name="Column4214"/>
      <deletedField name="Column4215"/>
      <deletedField name="Column4216"/>
      <deletedField name="Column4217"/>
      <deletedField name="Column4218"/>
      <deletedField name="Column4219"/>
      <deletedField name="Column4220"/>
      <deletedField name="Column4221"/>
      <deletedField name="Column4222"/>
      <deletedField name="Column4223"/>
      <deletedField name="Column4224"/>
      <deletedField name="Column4225"/>
      <deletedField name="Column4226"/>
      <deletedField name="Column4227"/>
      <deletedField name="Column4228"/>
      <deletedField name="Column4229"/>
      <deletedField name="Column4230"/>
      <deletedField name="Column4231"/>
      <deletedField name="Column4232"/>
      <deletedField name="Column4233"/>
      <deletedField name="Column4234"/>
      <deletedField name="Column4235"/>
      <deletedField name="Column4236"/>
      <deletedField name="Column4237"/>
      <deletedField name="Column4238"/>
      <deletedField name="Column4239"/>
      <deletedField name="Column4240"/>
      <deletedField name="Column4241"/>
      <deletedField name="Column4242"/>
      <deletedField name="Column4243"/>
      <deletedField name="Column4244"/>
      <deletedField name="Column4245"/>
      <deletedField name="Column4246"/>
      <deletedField name="Column4247"/>
      <deletedField name="Column4248"/>
      <deletedField name="Column4249"/>
      <deletedField name="Column4250"/>
      <deletedField name="Column4251"/>
      <deletedField name="Column4252"/>
      <deletedField name="Column4253"/>
      <deletedField name="Column4254"/>
      <deletedField name="Column4255"/>
      <deletedField name="Column4256"/>
      <deletedField name="Column4257"/>
      <deletedField name="Column4258"/>
      <deletedField name="Column4259"/>
      <deletedField name="Column4260"/>
      <deletedField name="Column4261"/>
      <deletedField name="Column4262"/>
      <deletedField name="Column4263"/>
      <deletedField name="Column4264"/>
      <deletedField name="Column4265"/>
      <deletedField name="Column4266"/>
      <deletedField name="Column4267"/>
      <deletedField name="Column4268"/>
      <deletedField name="Column4269"/>
      <deletedField name="Column4270"/>
      <deletedField name="Column4271"/>
      <deletedField name="Column4272"/>
      <deletedField name="Column4273"/>
      <deletedField name="Column4274"/>
      <deletedField name="Column4275"/>
      <deletedField name="Column4276"/>
      <deletedField name="Column4277"/>
      <deletedField name="Column4278"/>
      <deletedField name="Column4279"/>
      <deletedField name="Column4280"/>
      <deletedField name="Column4281"/>
      <deletedField name="Column4282"/>
      <deletedField name="Column4283"/>
      <deletedField name="Column4284"/>
      <deletedField name="Column4285"/>
      <deletedField name="Column4286"/>
      <deletedField name="Column4287"/>
      <deletedField name="Column4288"/>
      <deletedField name="Column4289"/>
      <deletedField name="Column4290"/>
      <deletedField name="Column4291"/>
      <deletedField name="Column4292"/>
      <deletedField name="Column4293"/>
      <deletedField name="Column4294"/>
      <deletedField name="Column4295"/>
      <deletedField name="Column4296"/>
      <deletedField name="Column4297"/>
      <deletedField name="Column4298"/>
      <deletedField name="Column4299"/>
      <deletedField name="Column4300"/>
      <deletedField name="Column4301"/>
      <deletedField name="Column4302"/>
      <deletedField name="Column4303"/>
      <deletedField name="Column4304"/>
      <deletedField name="Column4305"/>
      <deletedField name="Column4306"/>
      <deletedField name="Column4307"/>
      <deletedField name="Column4308"/>
      <deletedField name="Column4309"/>
      <deletedField name="Column4310"/>
      <deletedField name="Column4311"/>
      <deletedField name="Column4312"/>
      <deletedField name="Column4313"/>
      <deletedField name="Column4314"/>
      <deletedField name="Column4315"/>
      <deletedField name="Column4316"/>
      <deletedField name="Column4317"/>
      <deletedField name="Column4318"/>
      <deletedField name="Column4319"/>
      <deletedField name="Column4320"/>
      <deletedField name="Column4321"/>
      <deletedField name="Column4322"/>
      <deletedField name="Column4323"/>
      <deletedField name="Column4324"/>
      <deletedField name="Column4325"/>
      <deletedField name="Column4326"/>
      <deletedField name="Column4327"/>
      <deletedField name="Column4328"/>
      <deletedField name="Column4329"/>
      <deletedField name="Column4330"/>
      <deletedField name="Column4331"/>
      <deletedField name="Column4332"/>
      <deletedField name="Column4333"/>
      <deletedField name="Column4334"/>
      <deletedField name="Column4335"/>
      <deletedField name="Column4336"/>
      <deletedField name="Column4337"/>
      <deletedField name="Column4338"/>
      <deletedField name="Column4339"/>
      <deletedField name="Column4340"/>
      <deletedField name="Column4341"/>
      <deletedField name="Column4342"/>
      <deletedField name="Column4343"/>
      <deletedField name="Column4344"/>
      <deletedField name="Column4345"/>
      <deletedField name="Column4346"/>
      <deletedField name="Column4347"/>
      <deletedField name="Column4348"/>
      <deletedField name="Column4349"/>
      <deletedField name="Column4350"/>
      <deletedField name="Column4351"/>
      <deletedField name="Column4352"/>
      <deletedField name="Column4353"/>
      <deletedField name="Column4354"/>
      <deletedField name="Column4355"/>
      <deletedField name="Column4356"/>
      <deletedField name="Column4357"/>
      <deletedField name="Column4358"/>
      <deletedField name="Column4359"/>
      <deletedField name="Column4360"/>
      <deletedField name="Column4361"/>
      <deletedField name="Column4362"/>
      <deletedField name="Column4363"/>
      <deletedField name="Column4364"/>
      <deletedField name="Column4365"/>
      <deletedField name="Column4366"/>
      <deletedField name="Column4367"/>
      <deletedField name="Column4368"/>
      <deletedField name="Column4369"/>
      <deletedField name="Column4370"/>
      <deletedField name="Column4371"/>
      <deletedField name="Column4372"/>
      <deletedField name="Column4373"/>
      <deletedField name="Column4374"/>
      <deletedField name="Column4375"/>
      <deletedField name="Column4376"/>
      <deletedField name="Column4377"/>
      <deletedField name="Column4378"/>
      <deletedField name="Column4379"/>
      <deletedField name="Column4380"/>
      <deletedField name="Column4381"/>
      <deletedField name="Column4382"/>
      <deletedField name="Column4383"/>
      <deletedField name="Column4384"/>
      <deletedField name="Column4385"/>
      <deletedField name="Column4386"/>
      <deletedField name="Column4387"/>
      <deletedField name="Column4388"/>
      <deletedField name="Column4389"/>
      <deletedField name="Column4390"/>
      <deletedField name="Column4391"/>
      <deletedField name="Column4392"/>
      <deletedField name="Column4393"/>
      <deletedField name="Column4394"/>
      <deletedField name="Column4395"/>
      <deletedField name="Column4396"/>
      <deletedField name="Column4397"/>
      <deletedField name="Column4398"/>
      <deletedField name="Column4399"/>
      <deletedField name="Column4400"/>
      <deletedField name="Column4401"/>
      <deletedField name="Column4402"/>
      <deletedField name="Column4403"/>
      <deletedField name="Column4404"/>
      <deletedField name="Column4405"/>
      <deletedField name="Column4406"/>
      <deletedField name="Column4407"/>
      <deletedField name="Column4408"/>
      <deletedField name="Column4409"/>
      <deletedField name="Column4410"/>
      <deletedField name="Column4411"/>
      <deletedField name="Column4412"/>
      <deletedField name="Column4413"/>
      <deletedField name="Column4414"/>
      <deletedField name="Column4415"/>
      <deletedField name="Column4416"/>
      <deletedField name="Column4417"/>
      <deletedField name="Column4418"/>
      <deletedField name="Column4419"/>
      <deletedField name="Column4420"/>
      <deletedField name="Column4421"/>
      <deletedField name="Column4422"/>
      <deletedField name="Column4423"/>
      <deletedField name="Column4424"/>
      <deletedField name="Column4425"/>
      <deletedField name="Column4426"/>
      <deletedField name="Column4427"/>
      <deletedField name="Column4428"/>
      <deletedField name="Column4429"/>
      <deletedField name="Column4430"/>
      <deletedField name="Column4431"/>
      <deletedField name="Column4432"/>
      <deletedField name="Column4433"/>
      <deletedField name="Column4434"/>
      <deletedField name="Column4435"/>
      <deletedField name="Column4436"/>
      <deletedField name="Column4437"/>
      <deletedField name="Column4438"/>
      <deletedField name="Column4439"/>
      <deletedField name="Column4440"/>
      <deletedField name="Column4441"/>
      <deletedField name="Column4442"/>
      <deletedField name="Column4443"/>
      <deletedField name="Column4444"/>
      <deletedField name="Column4445"/>
      <deletedField name="Column4446"/>
      <deletedField name="Column4447"/>
      <deletedField name="Column4448"/>
      <deletedField name="Column4449"/>
      <deletedField name="Column4450"/>
      <deletedField name="Column4451"/>
      <deletedField name="Column4452"/>
      <deletedField name="Column4453"/>
      <deletedField name="Column4454"/>
      <deletedField name="Column4455"/>
      <deletedField name="Column4456"/>
      <deletedField name="Column4457"/>
      <deletedField name="Column4458"/>
      <deletedField name="Column4459"/>
      <deletedField name="Column4460"/>
      <deletedField name="Column4461"/>
      <deletedField name="Column4462"/>
      <deletedField name="Column4463"/>
      <deletedField name="Column4464"/>
      <deletedField name="Column4465"/>
      <deletedField name="Column4466"/>
      <deletedField name="Column4467"/>
      <deletedField name="Column4468"/>
      <deletedField name="Column4469"/>
      <deletedField name="Column4470"/>
      <deletedField name="Column4471"/>
      <deletedField name="Column4472"/>
      <deletedField name="Column4473"/>
      <deletedField name="Column4474"/>
      <deletedField name="Column4475"/>
      <deletedField name="Column4476"/>
      <deletedField name="Column4477"/>
      <deletedField name="Column4478"/>
      <deletedField name="Column4479"/>
      <deletedField name="Column4480"/>
      <deletedField name="Column4481"/>
      <deletedField name="Column4482"/>
      <deletedField name="Column4483"/>
      <deletedField name="Column4484"/>
      <deletedField name="Column4485"/>
      <deletedField name="Column4486"/>
      <deletedField name="Column4487"/>
      <deletedField name="Column4488"/>
      <deletedField name="Column4489"/>
      <deletedField name="Column4490"/>
      <deletedField name="Column4491"/>
      <deletedField name="Column4492"/>
      <deletedField name="Column4493"/>
      <deletedField name="Column4494"/>
      <deletedField name="Column4495"/>
      <deletedField name="Column4496"/>
      <deletedField name="Column4497"/>
      <deletedField name="Column4498"/>
      <deletedField name="Column4499"/>
      <deletedField name="Column4500"/>
      <deletedField name="Column4501"/>
      <deletedField name="Column4502"/>
      <deletedField name="Column4503"/>
      <deletedField name="Column4504"/>
      <deletedField name="Column4505"/>
      <deletedField name="Column4506"/>
      <deletedField name="Column4507"/>
      <deletedField name="Column4508"/>
      <deletedField name="Column4509"/>
      <deletedField name="Column4510"/>
      <deletedField name="Column4511"/>
      <deletedField name="Column4512"/>
      <deletedField name="Column4513"/>
      <deletedField name="Column4514"/>
      <deletedField name="Column4515"/>
      <deletedField name="Column4516"/>
      <deletedField name="Column4517"/>
      <deletedField name="Column4518"/>
      <deletedField name="Column4519"/>
      <deletedField name="Column4520"/>
      <deletedField name="Column4521"/>
      <deletedField name="Column4522"/>
      <deletedField name="Column4523"/>
      <deletedField name="Column4524"/>
      <deletedField name="Column4525"/>
      <deletedField name="Column4526"/>
      <deletedField name="Column4527"/>
      <deletedField name="Column4528"/>
      <deletedField name="Column4529"/>
      <deletedField name="Column4530"/>
      <deletedField name="Column4531"/>
      <deletedField name="Column4532"/>
      <deletedField name="Column4533"/>
      <deletedField name="Column4534"/>
      <deletedField name="Column4535"/>
      <deletedField name="Column4536"/>
      <deletedField name="Column4537"/>
      <deletedField name="Column4538"/>
      <deletedField name="Column4539"/>
      <deletedField name="Column4540"/>
      <deletedField name="Column4541"/>
      <deletedField name="Column4542"/>
      <deletedField name="Column4543"/>
      <deletedField name="Column4544"/>
      <deletedField name="Column4545"/>
      <deletedField name="Column4546"/>
      <deletedField name="Column4547"/>
      <deletedField name="Column4548"/>
      <deletedField name="Column4549"/>
      <deletedField name="Column4550"/>
      <deletedField name="Column4551"/>
      <deletedField name="Column4552"/>
      <deletedField name="Column4553"/>
      <deletedField name="Column4554"/>
      <deletedField name="Column4555"/>
      <deletedField name="Column4556"/>
      <deletedField name="Column4557"/>
      <deletedField name="Column4558"/>
      <deletedField name="Column4559"/>
      <deletedField name="Column4560"/>
      <deletedField name="Column4561"/>
      <deletedField name="Column4562"/>
      <deletedField name="Column4563"/>
      <deletedField name="Column4564"/>
      <deletedField name="Column4565"/>
      <deletedField name="Column4566"/>
      <deletedField name="Column4567"/>
      <deletedField name="Column4568"/>
      <deletedField name="Column4569"/>
      <deletedField name="Column4570"/>
      <deletedField name="Column4571"/>
      <deletedField name="Column4572"/>
      <deletedField name="Column4573"/>
      <deletedField name="Column4574"/>
      <deletedField name="Column4575"/>
      <deletedField name="Column4576"/>
      <deletedField name="Column4577"/>
      <deletedField name="Column4578"/>
      <deletedField name="Column4579"/>
      <deletedField name="Column4580"/>
      <deletedField name="Column4581"/>
      <deletedField name="Column4582"/>
      <deletedField name="Column4583"/>
      <deletedField name="Column4584"/>
      <deletedField name="Column4585"/>
      <deletedField name="Column4586"/>
      <deletedField name="Column4587"/>
      <deletedField name="Column4588"/>
      <deletedField name="Column4589"/>
      <deletedField name="Column4590"/>
      <deletedField name="Column4591"/>
      <deletedField name="Column4592"/>
      <deletedField name="Column4593"/>
      <deletedField name="Column4594"/>
      <deletedField name="Column4595"/>
      <deletedField name="Column4596"/>
      <deletedField name="Column4597"/>
      <deletedField name="Column4598"/>
      <deletedField name="Column4599"/>
      <deletedField name="Column4600"/>
      <deletedField name="Column4601"/>
      <deletedField name="Column4602"/>
      <deletedField name="Column4603"/>
      <deletedField name="Column4604"/>
      <deletedField name="Column4605"/>
      <deletedField name="Column4606"/>
      <deletedField name="Column4607"/>
      <deletedField name="Column4608"/>
      <deletedField name="Column4609"/>
      <deletedField name="Column4610"/>
      <deletedField name="Column4611"/>
      <deletedField name="Column4612"/>
      <deletedField name="Column4613"/>
      <deletedField name="Column4614"/>
      <deletedField name="Column4615"/>
      <deletedField name="Column4616"/>
      <deletedField name="Column4617"/>
      <deletedField name="Column4618"/>
      <deletedField name="Column4619"/>
      <deletedField name="Column4620"/>
      <deletedField name="Column4621"/>
      <deletedField name="Column4622"/>
      <deletedField name="Column4623"/>
      <deletedField name="Column4624"/>
      <deletedField name="Column4625"/>
      <deletedField name="Column4626"/>
      <deletedField name="Column4627"/>
      <deletedField name="Column4628"/>
      <deletedField name="Column4629"/>
      <deletedField name="Column4630"/>
      <deletedField name="Column4631"/>
      <deletedField name="Column4632"/>
      <deletedField name="Column4633"/>
      <deletedField name="Column4634"/>
      <deletedField name="Column4635"/>
      <deletedField name="Column4636"/>
      <deletedField name="Column4637"/>
      <deletedField name="Column4638"/>
      <deletedField name="Column4639"/>
      <deletedField name="Column4640"/>
      <deletedField name="Column4641"/>
      <deletedField name="Column4642"/>
      <deletedField name="Column4643"/>
      <deletedField name="Column4644"/>
      <deletedField name="Column4645"/>
      <deletedField name="Column4646"/>
      <deletedField name="Column4647"/>
      <deletedField name="Column4648"/>
      <deletedField name="Column4649"/>
      <deletedField name="Column4650"/>
      <deletedField name="Column4651"/>
      <deletedField name="Column4652"/>
      <deletedField name="Column4653"/>
      <deletedField name="Column4654"/>
      <deletedField name="Column4655"/>
      <deletedField name="Column4656"/>
      <deletedField name="Column4657"/>
      <deletedField name="Column4658"/>
      <deletedField name="Column4659"/>
      <deletedField name="Column4660"/>
      <deletedField name="Column4661"/>
      <deletedField name="Column4662"/>
      <deletedField name="Column4663"/>
      <deletedField name="Column4664"/>
      <deletedField name="Column4665"/>
      <deletedField name="Column4666"/>
      <deletedField name="Column4667"/>
      <deletedField name="Column4668"/>
      <deletedField name="Column4669"/>
      <deletedField name="Column4670"/>
      <deletedField name="Column4671"/>
      <deletedField name="Column4672"/>
      <deletedField name="Column4673"/>
      <deletedField name="Column4674"/>
      <deletedField name="Column4675"/>
      <deletedField name="Column4676"/>
      <deletedField name="Column4677"/>
      <deletedField name="Column4678"/>
      <deletedField name="Column4679"/>
      <deletedField name="Column4680"/>
      <deletedField name="Column4681"/>
      <deletedField name="Column4682"/>
      <deletedField name="Column4683"/>
      <deletedField name="Column4684"/>
      <deletedField name="Column4685"/>
      <deletedField name="Column4686"/>
      <deletedField name="Column4687"/>
      <deletedField name="Column4688"/>
      <deletedField name="Column4689"/>
      <deletedField name="Column4690"/>
      <deletedField name="Column4691"/>
      <deletedField name="Column4692"/>
      <deletedField name="Column4693"/>
      <deletedField name="Column4694"/>
      <deletedField name="Column4695"/>
      <deletedField name="Column4696"/>
      <deletedField name="Column4697"/>
      <deletedField name="Column4698"/>
      <deletedField name="Column4699"/>
      <deletedField name="Column4700"/>
      <deletedField name="Column4701"/>
      <deletedField name="Column4702"/>
      <deletedField name="Column4703"/>
      <deletedField name="Column4704"/>
      <deletedField name="Column4705"/>
      <deletedField name="Column4706"/>
      <deletedField name="Column4707"/>
      <deletedField name="Column4708"/>
      <deletedField name="Column4709"/>
      <deletedField name="Column4710"/>
      <deletedField name="Column4711"/>
      <deletedField name="Column4712"/>
      <deletedField name="Column4713"/>
      <deletedField name="Column4714"/>
      <deletedField name="Column4715"/>
      <deletedField name="Column4716"/>
      <deletedField name="Column4717"/>
      <deletedField name="Column4718"/>
      <deletedField name="Column4719"/>
      <deletedField name="Column4720"/>
      <deletedField name="Column4721"/>
      <deletedField name="Column4722"/>
      <deletedField name="Column4723"/>
      <deletedField name="Column4724"/>
      <deletedField name="Column4725"/>
      <deletedField name="Column4726"/>
      <deletedField name="Column4727"/>
      <deletedField name="Column4728"/>
      <deletedField name="Column4729"/>
      <deletedField name="Column4730"/>
      <deletedField name="Column4731"/>
      <deletedField name="Column4732"/>
      <deletedField name="Column4733"/>
      <deletedField name="Column4734"/>
      <deletedField name="Column4735"/>
      <deletedField name="Column4736"/>
      <deletedField name="Column4737"/>
      <deletedField name="Column4738"/>
      <deletedField name="Column4739"/>
      <deletedField name="Column4740"/>
      <deletedField name="Column4741"/>
      <deletedField name="Column4742"/>
      <deletedField name="Column4743"/>
      <deletedField name="Column4744"/>
      <deletedField name="Column4745"/>
      <deletedField name="Column4746"/>
      <deletedField name="Column4747"/>
      <deletedField name="Column4748"/>
      <deletedField name="Column4749"/>
      <deletedField name="Column4750"/>
      <deletedField name="Column4751"/>
      <deletedField name="Column4752"/>
      <deletedField name="Column4753"/>
      <deletedField name="Column4754"/>
      <deletedField name="Column4755"/>
      <deletedField name="Column4756"/>
      <deletedField name="Column4757"/>
      <deletedField name="Column4758"/>
      <deletedField name="Column4759"/>
      <deletedField name="Column4760"/>
      <deletedField name="Column4761"/>
      <deletedField name="Column4762"/>
      <deletedField name="Column4763"/>
      <deletedField name="Column4764"/>
      <deletedField name="Column4765"/>
      <deletedField name="Column4766"/>
      <deletedField name="Column4767"/>
      <deletedField name="Column4768"/>
      <deletedField name="Column4769"/>
      <deletedField name="Column4770"/>
      <deletedField name="Column4771"/>
      <deletedField name="Column4772"/>
      <deletedField name="Column4773"/>
      <deletedField name="Column4774"/>
      <deletedField name="Column4775"/>
      <deletedField name="Column4776"/>
      <deletedField name="Column4777"/>
      <deletedField name="Column4778"/>
      <deletedField name="Column4779"/>
      <deletedField name="Column4780"/>
      <deletedField name="Column4781"/>
      <deletedField name="Column4782"/>
      <deletedField name="Column4783"/>
      <deletedField name="Column4784"/>
      <deletedField name="Column4785"/>
      <deletedField name="Column4786"/>
      <deletedField name="Column4787"/>
      <deletedField name="Column4788"/>
      <deletedField name="Column4789"/>
      <deletedField name="Column4790"/>
      <deletedField name="Column4791"/>
      <deletedField name="Column4792"/>
      <deletedField name="Column4793"/>
      <deletedField name="Column4794"/>
      <deletedField name="Column4795"/>
      <deletedField name="Column4796"/>
      <deletedField name="Column4797"/>
      <deletedField name="Column4798"/>
      <deletedField name="Column4799"/>
      <deletedField name="Column4800"/>
      <deletedField name="Column4801"/>
      <deletedField name="Column4802"/>
      <deletedField name="Column4803"/>
      <deletedField name="Column4804"/>
      <deletedField name="Column4805"/>
      <deletedField name="Column4806"/>
      <deletedField name="Column4807"/>
      <deletedField name="Column4808"/>
      <deletedField name="Column4809"/>
      <deletedField name="Column4810"/>
      <deletedField name="Column4811"/>
      <deletedField name="Column4812"/>
      <deletedField name="Column4813"/>
      <deletedField name="Column4814"/>
      <deletedField name="Column4815"/>
      <deletedField name="Column4816"/>
      <deletedField name="Column4817"/>
      <deletedField name="Column4818"/>
      <deletedField name="Column4819"/>
      <deletedField name="Column4820"/>
      <deletedField name="Column4821"/>
      <deletedField name="Column4822"/>
      <deletedField name="Column4823"/>
      <deletedField name="Column4824"/>
      <deletedField name="Column4825"/>
      <deletedField name="Column4826"/>
      <deletedField name="Column4827"/>
      <deletedField name="Column4828"/>
      <deletedField name="Column4829"/>
      <deletedField name="Column4830"/>
      <deletedField name="Column4831"/>
      <deletedField name="Column4832"/>
      <deletedField name="Column4833"/>
      <deletedField name="Column4834"/>
      <deletedField name="Column4835"/>
      <deletedField name="Column4836"/>
      <deletedField name="Column4837"/>
      <deletedField name="Column4838"/>
      <deletedField name="Column4839"/>
      <deletedField name="Column4840"/>
      <deletedField name="Column4841"/>
      <deletedField name="Column4842"/>
      <deletedField name="Column4843"/>
      <deletedField name="Column4844"/>
      <deletedField name="Column4845"/>
      <deletedField name="Column4846"/>
      <deletedField name="Column4847"/>
      <deletedField name="Column4848"/>
      <deletedField name="Column4849"/>
      <deletedField name="Column4850"/>
      <deletedField name="Column4851"/>
      <deletedField name="Column4852"/>
      <deletedField name="Column4853"/>
      <deletedField name="Column4854"/>
      <deletedField name="Column4855"/>
      <deletedField name="Column4856"/>
      <deletedField name="Column4857"/>
      <deletedField name="Column4858"/>
      <deletedField name="Column4859"/>
      <deletedField name="Column4860"/>
      <deletedField name="Column4861"/>
      <deletedField name="Column4862"/>
      <deletedField name="Column4863"/>
      <deletedField name="Column4864"/>
      <deletedField name="Column4865"/>
      <deletedField name="Column4866"/>
      <deletedField name="Column4867"/>
      <deletedField name="Column4868"/>
      <deletedField name="Column4869"/>
      <deletedField name="Column4870"/>
      <deletedField name="Column4871"/>
      <deletedField name="Column4872"/>
      <deletedField name="Column4873"/>
      <deletedField name="Column4874"/>
      <deletedField name="Column4875"/>
      <deletedField name="Column4876"/>
      <deletedField name="Column4877"/>
      <deletedField name="Column4878"/>
      <deletedField name="Column4879"/>
      <deletedField name="Column4880"/>
      <deletedField name="Column4881"/>
      <deletedField name="Column4882"/>
      <deletedField name="Column4883"/>
      <deletedField name="Column4884"/>
      <deletedField name="Column4885"/>
      <deletedField name="Column4886"/>
      <deletedField name="Column4887"/>
      <deletedField name="Column4888"/>
      <deletedField name="Column4889"/>
      <deletedField name="Column4890"/>
      <deletedField name="Column4891"/>
      <deletedField name="Column4892"/>
      <deletedField name="Column4893"/>
      <deletedField name="Column4894"/>
      <deletedField name="Column4895"/>
      <deletedField name="Column4896"/>
      <deletedField name="Column4897"/>
      <deletedField name="Column4898"/>
      <deletedField name="Column4899"/>
      <deletedField name="Column4900"/>
      <deletedField name="Column4901"/>
      <deletedField name="Column4902"/>
      <deletedField name="Column4903"/>
      <deletedField name="Column4904"/>
      <deletedField name="Column4905"/>
      <deletedField name="Column4906"/>
      <deletedField name="Column4907"/>
      <deletedField name="Column4908"/>
      <deletedField name="Column4909"/>
      <deletedField name="Column4910"/>
      <deletedField name="Column4911"/>
      <deletedField name="Column4912"/>
      <deletedField name="Column4913"/>
      <deletedField name="Column4914"/>
      <deletedField name="Column4915"/>
      <deletedField name="Column4916"/>
      <deletedField name="Column4917"/>
      <deletedField name="Column4918"/>
      <deletedField name="Column4919"/>
      <deletedField name="Column4920"/>
      <deletedField name="Column4921"/>
      <deletedField name="Column4922"/>
      <deletedField name="Column4923"/>
      <deletedField name="Column4924"/>
      <deletedField name="Column4925"/>
      <deletedField name="Column4926"/>
      <deletedField name="Column4927"/>
      <deletedField name="Column4928"/>
      <deletedField name="Column4929"/>
      <deletedField name="Column4930"/>
      <deletedField name="Column4931"/>
      <deletedField name="Column4932"/>
      <deletedField name="Column4933"/>
      <deletedField name="Column4934"/>
      <deletedField name="Column4935"/>
      <deletedField name="Column4936"/>
      <deletedField name="Column4937"/>
      <deletedField name="Column4938"/>
      <deletedField name="Column4939"/>
      <deletedField name="Column4940"/>
      <deletedField name="Column4941"/>
      <deletedField name="Column4942"/>
      <deletedField name="Column4943"/>
      <deletedField name="Column4944"/>
      <deletedField name="Column4945"/>
      <deletedField name="Column4946"/>
      <deletedField name="Column4947"/>
      <deletedField name="Column4948"/>
      <deletedField name="Column4949"/>
      <deletedField name="Column4950"/>
      <deletedField name="Column4951"/>
      <deletedField name="Column4952"/>
      <deletedField name="Column4953"/>
      <deletedField name="Column4954"/>
      <deletedField name="Column4955"/>
      <deletedField name="Column4956"/>
      <deletedField name="Column4957"/>
      <deletedField name="Column4958"/>
      <deletedField name="Column4959"/>
      <deletedField name="Column4960"/>
      <deletedField name="Column4961"/>
      <deletedField name="Column4962"/>
      <deletedField name="Column4963"/>
      <deletedField name="Column4964"/>
      <deletedField name="Column4965"/>
      <deletedField name="Column4966"/>
      <deletedField name="Column4967"/>
      <deletedField name="Column4968"/>
      <deletedField name="Column4969"/>
      <deletedField name="Column4970"/>
      <deletedField name="Column4971"/>
      <deletedField name="Column4972"/>
      <deletedField name="Column4973"/>
      <deletedField name="Column4974"/>
      <deletedField name="Column4975"/>
      <deletedField name="Column4976"/>
      <deletedField name="Column4977"/>
      <deletedField name="Column4978"/>
      <deletedField name="Column4979"/>
      <deletedField name="Column4980"/>
      <deletedField name="Column4981"/>
      <deletedField name="Column4982"/>
      <deletedField name="Column4983"/>
      <deletedField name="Column4984"/>
      <deletedField name="Column4985"/>
      <deletedField name="Column4986"/>
      <deletedField name="Column4987"/>
      <deletedField name="Column4988"/>
      <deletedField name="Column4989"/>
      <deletedField name="Column4990"/>
      <deletedField name="Column4991"/>
      <deletedField name="Column4992"/>
      <deletedField name="Column4993"/>
      <deletedField name="Column4994"/>
      <deletedField name="Column4995"/>
      <deletedField name="Column4996"/>
      <deletedField name="Column4997"/>
      <deletedField name="Column4998"/>
      <deletedField name="Column4999"/>
      <deletedField name="Column5000"/>
      <deletedField name="Column5001"/>
      <deletedField name="Column5002"/>
      <deletedField name="Column5003"/>
      <deletedField name="Column5004"/>
      <deletedField name="Column5005"/>
      <deletedField name="Column5006"/>
      <deletedField name="Column5007"/>
      <deletedField name="Column5008"/>
      <deletedField name="Column5009"/>
      <deletedField name="Column5010"/>
      <deletedField name="Column5011"/>
      <deletedField name="Column5012"/>
      <deletedField name="Column5013"/>
      <deletedField name="Column5014"/>
      <deletedField name="Column5015"/>
      <deletedField name="Column5016"/>
      <deletedField name="Column5017"/>
      <deletedField name="Column5018"/>
      <deletedField name="Column5019"/>
      <deletedField name="Column5020"/>
      <deletedField name="Column5021"/>
      <deletedField name="Column5022"/>
      <deletedField name="Column5023"/>
      <deletedField name="Column5024"/>
      <deletedField name="Column5025"/>
      <deletedField name="Column5026"/>
      <deletedField name="Column5027"/>
      <deletedField name="Column5028"/>
      <deletedField name="Column5029"/>
      <deletedField name="Column5030"/>
      <deletedField name="Column5031"/>
      <deletedField name="Column5032"/>
      <deletedField name="Column5033"/>
      <deletedField name="Column5034"/>
      <deletedField name="Column5035"/>
      <deletedField name="Column5036"/>
      <deletedField name="Column5037"/>
      <deletedField name="Column5038"/>
      <deletedField name="Column5039"/>
      <deletedField name="Column5040"/>
      <deletedField name="Column5041"/>
      <deletedField name="Column5042"/>
      <deletedField name="Column5043"/>
      <deletedField name="Column5044"/>
      <deletedField name="Column5045"/>
      <deletedField name="Column5046"/>
      <deletedField name="Column5047"/>
      <deletedField name="Column5048"/>
      <deletedField name="Column5049"/>
      <deletedField name="Column5050"/>
      <deletedField name="Column5051"/>
      <deletedField name="Column5052"/>
      <deletedField name="Column5053"/>
      <deletedField name="Column5054"/>
      <deletedField name="Column5055"/>
      <deletedField name="Column5056"/>
      <deletedField name="Column5057"/>
      <deletedField name="Column5058"/>
      <deletedField name="Column5059"/>
      <deletedField name="Column5060"/>
      <deletedField name="Column5061"/>
      <deletedField name="Column5062"/>
      <deletedField name="Column5063"/>
      <deletedField name="Column5064"/>
      <deletedField name="Column5065"/>
      <deletedField name="Column5066"/>
      <deletedField name="Column5067"/>
      <deletedField name="Column5068"/>
      <deletedField name="Column5069"/>
      <deletedField name="Column5070"/>
      <deletedField name="Column5071"/>
      <deletedField name="Column5072"/>
      <deletedField name="Column5073"/>
      <deletedField name="Column5074"/>
      <deletedField name="Column5075"/>
      <deletedField name="Column5076"/>
      <deletedField name="Column5077"/>
      <deletedField name="Column5078"/>
      <deletedField name="Column5079"/>
      <deletedField name="Column5080"/>
      <deletedField name="Column5081"/>
      <deletedField name="Column5082"/>
      <deletedField name="Column5083"/>
      <deletedField name="Column5084"/>
      <deletedField name="Column5085"/>
      <deletedField name="Column5086"/>
      <deletedField name="Column5087"/>
      <deletedField name="Column5088"/>
      <deletedField name="Column5089"/>
      <deletedField name="Column5090"/>
      <deletedField name="Column5091"/>
      <deletedField name="Column5092"/>
      <deletedField name="Column5093"/>
      <deletedField name="Column5094"/>
      <deletedField name="Column5095"/>
      <deletedField name="Column5096"/>
      <deletedField name="Column5097"/>
      <deletedField name="Column5098"/>
      <deletedField name="Column5099"/>
      <deletedField name="Column5100"/>
      <deletedField name="Column5101"/>
      <deletedField name="Column5102"/>
      <deletedField name="Column5103"/>
      <deletedField name="Column5104"/>
      <deletedField name="Column5105"/>
      <deletedField name="Column5106"/>
      <deletedField name="Column5107"/>
      <deletedField name="Column5108"/>
      <deletedField name="Column5109"/>
      <deletedField name="Column5110"/>
      <deletedField name="Column5111"/>
      <deletedField name="Column5112"/>
      <deletedField name="Column5113"/>
      <deletedField name="Column5114"/>
      <deletedField name="Column5115"/>
      <deletedField name="Column5116"/>
      <deletedField name="Column5117"/>
      <deletedField name="Column5118"/>
      <deletedField name="Column5119"/>
      <deletedField name="Column5120"/>
      <deletedField name="Column5121"/>
      <deletedField name="Column5122"/>
      <deletedField name="Column5123"/>
      <deletedField name="Column5124"/>
      <deletedField name="Column5125"/>
      <deletedField name="Column5126"/>
      <deletedField name="Column5127"/>
      <deletedField name="Column5128"/>
      <deletedField name="Column5129"/>
      <deletedField name="Column5130"/>
      <deletedField name="Column5131"/>
      <deletedField name="Column5132"/>
      <deletedField name="Column5133"/>
      <deletedField name="Column5134"/>
      <deletedField name="Column5135"/>
      <deletedField name="Column5136"/>
      <deletedField name="Column5137"/>
      <deletedField name="Column5138"/>
      <deletedField name="Column5139"/>
      <deletedField name="Column5140"/>
      <deletedField name="Column5141"/>
      <deletedField name="Column5142"/>
      <deletedField name="Column5143"/>
      <deletedField name="Column5144"/>
      <deletedField name="Column5145"/>
      <deletedField name="Column5146"/>
      <deletedField name="Column5147"/>
      <deletedField name="Column5148"/>
      <deletedField name="Column5149"/>
      <deletedField name="Column5150"/>
      <deletedField name="Column5151"/>
      <deletedField name="Column5152"/>
      <deletedField name="Column5153"/>
      <deletedField name="Column5154"/>
      <deletedField name="Column5155"/>
      <deletedField name="Column5156"/>
      <deletedField name="Column5157"/>
      <deletedField name="Column5158"/>
      <deletedField name="Column5159"/>
      <deletedField name="Column5160"/>
      <deletedField name="Column5161"/>
      <deletedField name="Column5162"/>
      <deletedField name="Column5163"/>
      <deletedField name="Column5164"/>
      <deletedField name="Column5165"/>
      <deletedField name="Column5166"/>
      <deletedField name="Column5167"/>
      <deletedField name="Column5168"/>
      <deletedField name="Column5169"/>
      <deletedField name="Column5170"/>
      <deletedField name="Column5171"/>
      <deletedField name="Column5172"/>
      <deletedField name="Column5173"/>
      <deletedField name="Column5174"/>
      <deletedField name="Column5175"/>
      <deletedField name="Column5176"/>
      <deletedField name="Column5177"/>
      <deletedField name="Column5178"/>
      <deletedField name="Column5179"/>
      <deletedField name="Column5180"/>
      <deletedField name="Column5181"/>
      <deletedField name="Column5182"/>
      <deletedField name="Column5183"/>
      <deletedField name="Column5184"/>
      <deletedField name="Column5185"/>
      <deletedField name="Column5186"/>
      <deletedField name="Column5187"/>
      <deletedField name="Column5188"/>
      <deletedField name="Column5189"/>
      <deletedField name="Column5190"/>
      <deletedField name="Column5191"/>
      <deletedField name="Column5192"/>
      <deletedField name="Column5193"/>
      <deletedField name="Column5194"/>
      <deletedField name="Column5195"/>
      <deletedField name="Column5196"/>
      <deletedField name="Column5197"/>
      <deletedField name="Column5198"/>
      <deletedField name="Column5199"/>
      <deletedField name="Column5200"/>
      <deletedField name="Column5201"/>
      <deletedField name="Column5202"/>
      <deletedField name="Column5203"/>
      <deletedField name="Column5204"/>
      <deletedField name="Column5205"/>
      <deletedField name="Column5206"/>
      <deletedField name="Column5207"/>
      <deletedField name="Column5208"/>
      <deletedField name="Column5209"/>
      <deletedField name="Column5210"/>
      <deletedField name="Column5211"/>
      <deletedField name="Column5212"/>
      <deletedField name="Column5213"/>
      <deletedField name="Column5214"/>
      <deletedField name="Column5215"/>
      <deletedField name="Column5216"/>
      <deletedField name="Column5217"/>
      <deletedField name="Column5218"/>
      <deletedField name="Column5219"/>
      <deletedField name="Column5220"/>
      <deletedField name="Column5221"/>
      <deletedField name="Column5222"/>
      <deletedField name="Column5223"/>
      <deletedField name="Column5224"/>
      <deletedField name="Column5225"/>
      <deletedField name="Column5226"/>
      <deletedField name="Column5227"/>
      <deletedField name="Column5228"/>
      <deletedField name="Column5229"/>
      <deletedField name="Column5230"/>
      <deletedField name="Column5231"/>
      <deletedField name="Column5232"/>
      <deletedField name="Column5233"/>
      <deletedField name="Column5234"/>
      <deletedField name="Column5235"/>
      <deletedField name="Column5236"/>
      <deletedField name="Column5237"/>
      <deletedField name="Column5238"/>
      <deletedField name="Column5239"/>
      <deletedField name="Column5240"/>
      <deletedField name="Column5241"/>
      <deletedField name="Column5242"/>
      <deletedField name="Column5243"/>
      <deletedField name="Column5244"/>
      <deletedField name="Column5245"/>
      <deletedField name="Column5246"/>
      <deletedField name="Column5247"/>
      <deletedField name="Column5248"/>
      <deletedField name="Column5249"/>
      <deletedField name="Column5250"/>
      <deletedField name="Column5251"/>
      <deletedField name="Column5252"/>
      <deletedField name="Column5253"/>
      <deletedField name="Column5254"/>
      <deletedField name="Column5255"/>
      <deletedField name="Column5256"/>
      <deletedField name="Column5257"/>
      <deletedField name="Column5258"/>
      <deletedField name="Column5259"/>
      <deletedField name="Column5260"/>
      <deletedField name="Column5261"/>
      <deletedField name="Column5262"/>
      <deletedField name="Column5263"/>
      <deletedField name="Column5264"/>
      <deletedField name="Column5265"/>
      <deletedField name="Column5266"/>
      <deletedField name="Column5267"/>
      <deletedField name="Column5268"/>
      <deletedField name="Column5269"/>
      <deletedField name="Column5270"/>
      <deletedField name="Column5271"/>
      <deletedField name="Column5272"/>
      <deletedField name="Column5273"/>
      <deletedField name="Column5274"/>
      <deletedField name="Column5275"/>
      <deletedField name="Column5276"/>
      <deletedField name="Column5277"/>
      <deletedField name="Column5278"/>
      <deletedField name="Column5279"/>
      <deletedField name="Column5280"/>
      <deletedField name="Column5281"/>
      <deletedField name="Column5282"/>
      <deletedField name="Column5283"/>
      <deletedField name="Column5284"/>
      <deletedField name="Column5285"/>
      <deletedField name="Column5286"/>
      <deletedField name="Column5287"/>
      <deletedField name="Column5288"/>
      <deletedField name="Column5289"/>
      <deletedField name="Column5290"/>
      <deletedField name="Column5291"/>
      <deletedField name="Column5292"/>
      <deletedField name="Column5293"/>
      <deletedField name="Column5294"/>
      <deletedField name="Column5295"/>
      <deletedField name="Column5296"/>
      <deletedField name="Column5297"/>
      <deletedField name="Column5298"/>
      <deletedField name="Column5299"/>
      <deletedField name="Column5300"/>
      <deletedField name="Column5301"/>
      <deletedField name="Column5302"/>
      <deletedField name="Column5303"/>
      <deletedField name="Column5304"/>
      <deletedField name="Column5305"/>
      <deletedField name="Column5306"/>
      <deletedField name="Column5307"/>
      <deletedField name="Column5308"/>
      <deletedField name="Column5309"/>
      <deletedField name="Column5310"/>
      <deletedField name="Column5311"/>
      <deletedField name="Column5312"/>
      <deletedField name="Column5313"/>
      <deletedField name="Column5314"/>
      <deletedField name="Column5315"/>
      <deletedField name="Column5316"/>
      <deletedField name="Column5317"/>
      <deletedField name="Column5318"/>
      <deletedField name="Column5319"/>
      <deletedField name="Column5320"/>
      <deletedField name="Column5321"/>
      <deletedField name="Column5322"/>
      <deletedField name="Column5323"/>
      <deletedField name="Column5324"/>
      <deletedField name="Column5325"/>
      <deletedField name="Column5326"/>
      <deletedField name="Column5327"/>
      <deletedField name="Column5328"/>
      <deletedField name="Column5329"/>
      <deletedField name="Column5330"/>
      <deletedField name="Column5331"/>
      <deletedField name="Column5332"/>
      <deletedField name="Column5333"/>
      <deletedField name="Column5334"/>
      <deletedField name="Column5335"/>
      <deletedField name="Column5336"/>
      <deletedField name="Column5337"/>
      <deletedField name="Column5338"/>
      <deletedField name="Column5339"/>
      <deletedField name="Column5340"/>
      <deletedField name="Column5341"/>
      <deletedField name="Column5342"/>
      <deletedField name="Column5343"/>
      <deletedField name="Column5344"/>
      <deletedField name="Column5345"/>
      <deletedField name="Column5346"/>
      <deletedField name="Column5347"/>
      <deletedField name="Column5348"/>
      <deletedField name="Column5349"/>
      <deletedField name="Column5350"/>
      <deletedField name="Column5351"/>
      <deletedField name="Column5352"/>
      <deletedField name="Column5353"/>
      <deletedField name="Column5354"/>
      <deletedField name="Column5355"/>
      <deletedField name="Column5356"/>
      <deletedField name="Column5357"/>
      <deletedField name="Column5358"/>
      <deletedField name="Column5359"/>
      <deletedField name="Column5360"/>
      <deletedField name="Column5361"/>
      <deletedField name="Column5362"/>
      <deletedField name="Column5363"/>
      <deletedField name="Column5364"/>
      <deletedField name="Column5365"/>
      <deletedField name="Column5366"/>
      <deletedField name="Column5367"/>
      <deletedField name="Column5368"/>
      <deletedField name="Column5369"/>
      <deletedField name="Column5370"/>
      <deletedField name="Column5371"/>
      <deletedField name="Column5372"/>
      <deletedField name="Column5373"/>
      <deletedField name="Column5374"/>
      <deletedField name="Column5375"/>
      <deletedField name="Column5376"/>
      <deletedField name="Column5377"/>
      <deletedField name="Column5378"/>
      <deletedField name="Column5379"/>
      <deletedField name="Column5380"/>
      <deletedField name="Column5381"/>
      <deletedField name="Column5382"/>
      <deletedField name="Column5383"/>
      <deletedField name="Column5384"/>
      <deletedField name="Column5385"/>
      <deletedField name="Column5386"/>
      <deletedField name="Column5387"/>
      <deletedField name="Column5388"/>
      <deletedField name="Column5389"/>
      <deletedField name="Column5390"/>
      <deletedField name="Column5391"/>
      <deletedField name="Column5392"/>
      <deletedField name="Column5393"/>
      <deletedField name="Column5394"/>
      <deletedField name="Column5395"/>
      <deletedField name="Column5396"/>
      <deletedField name="Column5397"/>
      <deletedField name="Column5398"/>
      <deletedField name="Column5399"/>
      <deletedField name="Column5400"/>
      <deletedField name="Column5401"/>
      <deletedField name="Column5402"/>
      <deletedField name="Column5403"/>
      <deletedField name="Column5404"/>
      <deletedField name="Column5405"/>
      <deletedField name="Column5406"/>
      <deletedField name="Column5407"/>
      <deletedField name="Column5408"/>
      <deletedField name="Column5409"/>
      <deletedField name="Column5410"/>
      <deletedField name="Column5411"/>
      <deletedField name="Column5412"/>
      <deletedField name="Column5413"/>
      <deletedField name="Column5414"/>
      <deletedField name="Column5415"/>
      <deletedField name="Column5416"/>
      <deletedField name="Column5417"/>
      <deletedField name="Column5418"/>
      <deletedField name="Column5419"/>
      <deletedField name="Column5420"/>
      <deletedField name="Column5421"/>
      <deletedField name="Column5422"/>
      <deletedField name="Column5423"/>
      <deletedField name="Column5424"/>
      <deletedField name="Column5425"/>
      <deletedField name="Column5426"/>
      <deletedField name="Column5427"/>
      <deletedField name="Column5428"/>
      <deletedField name="Column5429"/>
      <deletedField name="Column5430"/>
      <deletedField name="Column5431"/>
      <deletedField name="Column5432"/>
      <deletedField name="Column5433"/>
      <deletedField name="Column5434"/>
      <deletedField name="Column5435"/>
      <deletedField name="Column5436"/>
      <deletedField name="Column5437"/>
      <deletedField name="Column5438"/>
      <deletedField name="Column5439"/>
      <deletedField name="Column5440"/>
      <deletedField name="Column5441"/>
      <deletedField name="Column5442"/>
      <deletedField name="Column5443"/>
      <deletedField name="Column5444"/>
      <deletedField name="Column5445"/>
      <deletedField name="Column5446"/>
      <deletedField name="Column5447"/>
      <deletedField name="Column5448"/>
      <deletedField name="Column5449"/>
      <deletedField name="Column5450"/>
      <deletedField name="Column5451"/>
      <deletedField name="Column5452"/>
      <deletedField name="Column5453"/>
      <deletedField name="Column5454"/>
      <deletedField name="Column5455"/>
      <deletedField name="Column5456"/>
      <deletedField name="Column5457"/>
      <deletedField name="Column5458"/>
      <deletedField name="Column5459"/>
      <deletedField name="Column5460"/>
      <deletedField name="Column5461"/>
      <deletedField name="Column5462"/>
      <deletedField name="Column5463"/>
      <deletedField name="Column5464"/>
      <deletedField name="Column5465"/>
      <deletedField name="Column5466"/>
      <deletedField name="Column5467"/>
      <deletedField name="Column5468"/>
      <deletedField name="Column5469"/>
      <deletedField name="Column5470"/>
      <deletedField name="Column5471"/>
      <deletedField name="Column5472"/>
      <deletedField name="Column5473"/>
      <deletedField name="Column5474"/>
      <deletedField name="Column5475"/>
      <deletedField name="Column5476"/>
      <deletedField name="Column5477"/>
      <deletedField name="Column5478"/>
      <deletedField name="Column5479"/>
      <deletedField name="Column5480"/>
      <deletedField name="Column5481"/>
      <deletedField name="Column5482"/>
      <deletedField name="Column5483"/>
      <deletedField name="Column5484"/>
      <deletedField name="Column5485"/>
      <deletedField name="Column5486"/>
      <deletedField name="Column5487"/>
      <deletedField name="Column5488"/>
      <deletedField name="Column5489"/>
      <deletedField name="Column5490"/>
      <deletedField name="Column5491"/>
      <deletedField name="Column5492"/>
      <deletedField name="Column5493"/>
      <deletedField name="Column5494"/>
      <deletedField name="Column5495"/>
      <deletedField name="Column5496"/>
      <deletedField name="Column5497"/>
      <deletedField name="Column5498"/>
      <deletedField name="Column5499"/>
      <deletedField name="Column5500"/>
      <deletedField name="Column5501"/>
      <deletedField name="Column5502"/>
      <deletedField name="Column5503"/>
      <deletedField name="Column5504"/>
      <deletedField name="Column5505"/>
      <deletedField name="Column5506"/>
      <deletedField name="Column5507"/>
      <deletedField name="Column5508"/>
      <deletedField name="Column5509"/>
      <deletedField name="Column5510"/>
      <deletedField name="Column5511"/>
      <deletedField name="Column5512"/>
      <deletedField name="Column5513"/>
      <deletedField name="Column5514"/>
      <deletedField name="Column5515"/>
      <deletedField name="Column5516"/>
      <deletedField name="Column5517"/>
      <deletedField name="Column5518"/>
      <deletedField name="Column5519"/>
      <deletedField name="Column5520"/>
      <deletedField name="Column5521"/>
      <deletedField name="Column5522"/>
      <deletedField name="Column5523"/>
      <deletedField name="Column5524"/>
      <deletedField name="Column5525"/>
      <deletedField name="Column5526"/>
      <deletedField name="Column5527"/>
      <deletedField name="Column5528"/>
      <deletedField name="Column5529"/>
      <deletedField name="Column5530"/>
      <deletedField name="Column5531"/>
      <deletedField name="Column5532"/>
      <deletedField name="Column5533"/>
      <deletedField name="Column5534"/>
      <deletedField name="Column5535"/>
      <deletedField name="Column5536"/>
      <deletedField name="Column5537"/>
      <deletedField name="Column5538"/>
      <deletedField name="Column5539"/>
      <deletedField name="Column5540"/>
      <deletedField name="Column5541"/>
      <deletedField name="Column5542"/>
      <deletedField name="Column5543"/>
      <deletedField name="Column5544"/>
      <deletedField name="Column5545"/>
      <deletedField name="Column5546"/>
      <deletedField name="Column5547"/>
      <deletedField name="Column5548"/>
      <deletedField name="Column5549"/>
      <deletedField name="Column5550"/>
      <deletedField name="Column5551"/>
      <deletedField name="Column5552"/>
      <deletedField name="Column5553"/>
      <deletedField name="Column5554"/>
      <deletedField name="Column5555"/>
      <deletedField name="Column5556"/>
      <deletedField name="Column5557"/>
      <deletedField name="Column5558"/>
      <deletedField name="Column5559"/>
      <deletedField name="Column5560"/>
      <deletedField name="Column5561"/>
      <deletedField name="Column5562"/>
      <deletedField name="Column5563"/>
      <deletedField name="Column5564"/>
      <deletedField name="Column5565"/>
      <deletedField name="Column5566"/>
      <deletedField name="Column5567"/>
      <deletedField name="Column5568"/>
      <deletedField name="Column5569"/>
      <deletedField name="Column5570"/>
      <deletedField name="Column5571"/>
      <deletedField name="Column5572"/>
      <deletedField name="Column5573"/>
      <deletedField name="Column5574"/>
      <deletedField name="Column5575"/>
      <deletedField name="Column5576"/>
      <deletedField name="Column5577"/>
      <deletedField name="Column5578"/>
      <deletedField name="Column5579"/>
      <deletedField name="Column5580"/>
      <deletedField name="Column5581"/>
      <deletedField name="Column5582"/>
      <deletedField name="Column5583"/>
      <deletedField name="Column5584"/>
      <deletedField name="Column5585"/>
      <deletedField name="Column5586"/>
      <deletedField name="Column5587"/>
      <deletedField name="Column5588"/>
      <deletedField name="Column5589"/>
      <deletedField name="Column5590"/>
      <deletedField name="Column5591"/>
      <deletedField name="Column5592"/>
      <deletedField name="Column5593"/>
      <deletedField name="Column5594"/>
      <deletedField name="Column5595"/>
      <deletedField name="Column5596"/>
      <deletedField name="Column5597"/>
      <deletedField name="Column5598"/>
      <deletedField name="Column5599"/>
      <deletedField name="Column5600"/>
      <deletedField name="Column5601"/>
      <deletedField name="Column5602"/>
      <deletedField name="Column5603"/>
      <deletedField name="Column5604"/>
      <deletedField name="Column5605"/>
      <deletedField name="Column5606"/>
      <deletedField name="Column5607"/>
      <deletedField name="Column5608"/>
      <deletedField name="Column5609"/>
      <deletedField name="Column5610"/>
      <deletedField name="Column5611"/>
      <deletedField name="Column5612"/>
      <deletedField name="Column5613"/>
      <deletedField name="Column5614"/>
      <deletedField name="Column5615"/>
      <deletedField name="Column5616"/>
      <deletedField name="Column5617"/>
      <deletedField name="Column5618"/>
      <deletedField name="Column5619"/>
      <deletedField name="Column5620"/>
      <deletedField name="Column5621"/>
      <deletedField name="Column5622"/>
      <deletedField name="Column5623"/>
      <deletedField name="Column5624"/>
      <deletedField name="Column5625"/>
      <deletedField name="Column5626"/>
      <deletedField name="Column5627"/>
      <deletedField name="Column5628"/>
      <deletedField name="Column5629"/>
      <deletedField name="Column5630"/>
      <deletedField name="Column5631"/>
      <deletedField name="Column5632"/>
      <deletedField name="Column5633"/>
      <deletedField name="Column5634"/>
      <deletedField name="Column5635"/>
      <deletedField name="Column5636"/>
      <deletedField name="Column5637"/>
      <deletedField name="Column5638"/>
      <deletedField name="Column5639"/>
      <deletedField name="Column5640"/>
      <deletedField name="Column5641"/>
      <deletedField name="Column5642"/>
      <deletedField name="Column5643"/>
      <deletedField name="Column5644"/>
      <deletedField name="Column5645"/>
      <deletedField name="Column5646"/>
      <deletedField name="Column5647"/>
      <deletedField name="Column5648"/>
      <deletedField name="Column5649"/>
      <deletedField name="Column5650"/>
      <deletedField name="Column5651"/>
      <deletedField name="Column5652"/>
      <deletedField name="Column5653"/>
      <deletedField name="Column5654"/>
      <deletedField name="Column5655"/>
      <deletedField name="Column5656"/>
      <deletedField name="Column5657"/>
      <deletedField name="Column5658"/>
      <deletedField name="Column5659"/>
      <deletedField name="Column5660"/>
      <deletedField name="Column5661"/>
      <deletedField name="Column5662"/>
      <deletedField name="Column5663"/>
      <deletedField name="Column5664"/>
      <deletedField name="Column5665"/>
      <deletedField name="Column5666"/>
      <deletedField name="Column5667"/>
      <deletedField name="Column5668"/>
      <deletedField name="Column5669"/>
      <deletedField name="Column5670"/>
      <deletedField name="Column5671"/>
      <deletedField name="Column5672"/>
      <deletedField name="Column5673"/>
      <deletedField name="Column5674"/>
      <deletedField name="Column5675"/>
      <deletedField name="Column5676"/>
      <deletedField name="Column5677"/>
      <deletedField name="Column5678"/>
      <deletedField name="Column5679"/>
      <deletedField name="Column5680"/>
      <deletedField name="Column5681"/>
      <deletedField name="Column5682"/>
      <deletedField name="Column5683"/>
      <deletedField name="Column5684"/>
      <deletedField name="Column5685"/>
      <deletedField name="Column5686"/>
      <deletedField name="Column5687"/>
      <deletedField name="Column5688"/>
      <deletedField name="Column5689"/>
      <deletedField name="Column5690"/>
      <deletedField name="Column5691"/>
      <deletedField name="Column5692"/>
      <deletedField name="Column5693"/>
      <deletedField name="Column5694"/>
      <deletedField name="Column5695"/>
      <deletedField name="Column5696"/>
      <deletedField name="Column5697"/>
      <deletedField name="Column5698"/>
      <deletedField name="Column5699"/>
      <deletedField name="Column5700"/>
      <deletedField name="Column5701"/>
      <deletedField name="Column5702"/>
      <deletedField name="Column5703"/>
      <deletedField name="Column5704"/>
      <deletedField name="Column5705"/>
      <deletedField name="Column5706"/>
      <deletedField name="Column5707"/>
      <deletedField name="Column5708"/>
      <deletedField name="Column5709"/>
      <deletedField name="Column5710"/>
      <deletedField name="Column5711"/>
      <deletedField name="Column5712"/>
      <deletedField name="Column5713"/>
      <deletedField name="Column5714"/>
      <deletedField name="Column5715"/>
      <deletedField name="Column5716"/>
      <deletedField name="Column5717"/>
      <deletedField name="Column5718"/>
      <deletedField name="Column5719"/>
      <deletedField name="Column5720"/>
      <deletedField name="Column5721"/>
      <deletedField name="Column5722"/>
      <deletedField name="Column5723"/>
      <deletedField name="Column5724"/>
      <deletedField name="Column5725"/>
      <deletedField name="Column5726"/>
      <deletedField name="Column5727"/>
      <deletedField name="Column5728"/>
      <deletedField name="Column5729"/>
      <deletedField name="Column5730"/>
      <deletedField name="Column5731"/>
      <deletedField name="Column5732"/>
      <deletedField name="Column5733"/>
      <deletedField name="Column5734"/>
      <deletedField name="Column5735"/>
      <deletedField name="Column5736"/>
      <deletedField name="Column5737"/>
      <deletedField name="Column5738"/>
      <deletedField name="Column5739"/>
      <deletedField name="Column5740"/>
      <deletedField name="Column5741"/>
      <deletedField name="Column5742"/>
      <deletedField name="Column5743"/>
      <deletedField name="Column5744"/>
      <deletedField name="Column5745"/>
      <deletedField name="Column5746"/>
      <deletedField name="Column5747"/>
      <deletedField name="Column5748"/>
      <deletedField name="Column5749"/>
      <deletedField name="Column5750"/>
      <deletedField name="Column5751"/>
      <deletedField name="Column5752"/>
      <deletedField name="Column5753"/>
      <deletedField name="Column5754"/>
      <deletedField name="Column5755"/>
      <deletedField name="Column5756"/>
      <deletedField name="Column5757"/>
      <deletedField name="Column5758"/>
      <deletedField name="Column5759"/>
      <deletedField name="Column5760"/>
      <deletedField name="Column5761"/>
      <deletedField name="Column5762"/>
      <deletedField name="Column5763"/>
      <deletedField name="Column5764"/>
      <deletedField name="Column5765"/>
      <deletedField name="Column5766"/>
      <deletedField name="Column5767"/>
      <deletedField name="Column5768"/>
      <deletedField name="Column5769"/>
      <deletedField name="Column5770"/>
      <deletedField name="Column5771"/>
      <deletedField name="Column5772"/>
      <deletedField name="Column5773"/>
      <deletedField name="Column5774"/>
      <deletedField name="Column5775"/>
      <deletedField name="Column5776"/>
      <deletedField name="Column5777"/>
      <deletedField name="Column5778"/>
      <deletedField name="Column5779"/>
      <deletedField name="Column5780"/>
      <deletedField name="Column5781"/>
      <deletedField name="Column5782"/>
      <deletedField name="Column5783"/>
      <deletedField name="Column5784"/>
      <deletedField name="Column5785"/>
      <deletedField name="Column5786"/>
      <deletedField name="Column5787"/>
      <deletedField name="Column5788"/>
      <deletedField name="Column5789"/>
      <deletedField name="Column5790"/>
      <deletedField name="Column5791"/>
      <deletedField name="Column5792"/>
      <deletedField name="Column5793"/>
      <deletedField name="Column5794"/>
      <deletedField name="Column5795"/>
      <deletedField name="Column5796"/>
      <deletedField name="Column5797"/>
      <deletedField name="Column5798"/>
      <deletedField name="Column5799"/>
      <deletedField name="Column5800"/>
      <deletedField name="Column5801"/>
      <deletedField name="Column5802"/>
      <deletedField name="Column5803"/>
      <deletedField name="Column5804"/>
      <deletedField name="Column5805"/>
      <deletedField name="Column5806"/>
      <deletedField name="Column5807"/>
      <deletedField name="Column5808"/>
      <deletedField name="Column5809"/>
      <deletedField name="Column5810"/>
      <deletedField name="Column5811"/>
      <deletedField name="Column5812"/>
      <deletedField name="Column5813"/>
      <deletedField name="Column5814"/>
      <deletedField name="Column5815"/>
      <deletedField name="Column5816"/>
      <deletedField name="Column5817"/>
      <deletedField name="Column5818"/>
      <deletedField name="Column5819"/>
      <deletedField name="Column5820"/>
      <deletedField name="Column5821"/>
      <deletedField name="Column5822"/>
      <deletedField name="Column5823"/>
      <deletedField name="Column5824"/>
      <deletedField name="Column5825"/>
      <deletedField name="Column5826"/>
      <deletedField name="Column5827"/>
      <deletedField name="Column5828"/>
      <deletedField name="Column5829"/>
      <deletedField name="Column5830"/>
      <deletedField name="Column5831"/>
      <deletedField name="Column5832"/>
      <deletedField name="Column5833"/>
      <deletedField name="Column5834"/>
      <deletedField name="Column5835"/>
      <deletedField name="Column5836"/>
      <deletedField name="Column5837"/>
      <deletedField name="Column5838"/>
      <deletedField name="Column5839"/>
      <deletedField name="Column5840"/>
      <deletedField name="Column5841"/>
      <deletedField name="Column5842"/>
      <deletedField name="Column5843"/>
      <deletedField name="Column5844"/>
      <deletedField name="Column5845"/>
      <deletedField name="Column5846"/>
      <deletedField name="Column5847"/>
      <deletedField name="Column5848"/>
      <deletedField name="Column5849"/>
      <deletedField name="Column5850"/>
      <deletedField name="Column5851"/>
      <deletedField name="Column5852"/>
      <deletedField name="Column5853"/>
      <deletedField name="Column5854"/>
      <deletedField name="Column5855"/>
      <deletedField name="Column5856"/>
      <deletedField name="Column5857"/>
      <deletedField name="Column5858"/>
      <deletedField name="Column5859"/>
      <deletedField name="Column5860"/>
      <deletedField name="Column5861"/>
      <deletedField name="Column5862"/>
      <deletedField name="Column5863"/>
      <deletedField name="Column5864"/>
      <deletedField name="Column5865"/>
      <deletedField name="Column5866"/>
      <deletedField name="Column5867"/>
      <deletedField name="Column5868"/>
      <deletedField name="Column5869"/>
      <deletedField name="Column5870"/>
      <deletedField name="Column5871"/>
      <deletedField name="Column5872"/>
      <deletedField name="Column5873"/>
      <deletedField name="Column5874"/>
      <deletedField name="Column5875"/>
      <deletedField name="Column5876"/>
      <deletedField name="Column5877"/>
      <deletedField name="Column5878"/>
      <deletedField name="Column5879"/>
      <deletedField name="Column5880"/>
      <deletedField name="Column5881"/>
      <deletedField name="Column5882"/>
      <deletedField name="Column5883"/>
      <deletedField name="Column5884"/>
      <deletedField name="Column5885"/>
      <deletedField name="Column5886"/>
      <deletedField name="Column5887"/>
      <deletedField name="Column5888"/>
      <deletedField name="Column5889"/>
      <deletedField name="Column5890"/>
      <deletedField name="Column5891"/>
      <deletedField name="Column5892"/>
      <deletedField name="Column5893"/>
      <deletedField name="Column5894"/>
      <deletedField name="Column5895"/>
      <deletedField name="Column5896"/>
      <deletedField name="Column5897"/>
      <deletedField name="Column5898"/>
      <deletedField name="Column5899"/>
      <deletedField name="Column5900"/>
      <deletedField name="Column5901"/>
      <deletedField name="Column5902"/>
      <deletedField name="Column5903"/>
      <deletedField name="Column5904"/>
      <deletedField name="Column5905"/>
      <deletedField name="Column5906"/>
      <deletedField name="Column5907"/>
      <deletedField name="Column5908"/>
      <deletedField name="Column5909"/>
      <deletedField name="Column5910"/>
      <deletedField name="Column5911"/>
      <deletedField name="Column5912"/>
      <deletedField name="Column5913"/>
      <deletedField name="Column5914"/>
      <deletedField name="Column5915"/>
      <deletedField name="Column5916"/>
      <deletedField name="Column5917"/>
      <deletedField name="Column5918"/>
      <deletedField name="Column5919"/>
      <deletedField name="Column5920"/>
      <deletedField name="Column5921"/>
      <deletedField name="Column5922"/>
      <deletedField name="Column5923"/>
      <deletedField name="Column5924"/>
      <deletedField name="Column5925"/>
      <deletedField name="Column5926"/>
      <deletedField name="Column5927"/>
      <deletedField name="Column5928"/>
      <deletedField name="Column5929"/>
      <deletedField name="Column5930"/>
      <deletedField name="Column5931"/>
      <deletedField name="Column5932"/>
      <deletedField name="Column5933"/>
      <deletedField name="Column5934"/>
      <deletedField name="Column5935"/>
      <deletedField name="Column5936"/>
      <deletedField name="Column5937"/>
      <deletedField name="Column5938"/>
      <deletedField name="Column5939"/>
      <deletedField name="Column5940"/>
      <deletedField name="Column5941"/>
      <deletedField name="Column5942"/>
      <deletedField name="Column5943"/>
      <deletedField name="Column5944"/>
      <deletedField name="Column5945"/>
      <deletedField name="Column5946"/>
      <deletedField name="Column5947"/>
      <deletedField name="Column5948"/>
      <deletedField name="Column5949"/>
      <deletedField name="Column5950"/>
      <deletedField name="Column5951"/>
      <deletedField name="Column5952"/>
      <deletedField name="Column5953"/>
      <deletedField name="Column5954"/>
      <deletedField name="Column5955"/>
      <deletedField name="Column5956"/>
      <deletedField name="Column5957"/>
      <deletedField name="Column5958"/>
      <deletedField name="Column5959"/>
      <deletedField name="Column5960"/>
      <deletedField name="Column5961"/>
      <deletedField name="Column5962"/>
      <deletedField name="Column5963"/>
      <deletedField name="Column5964"/>
      <deletedField name="Column5965"/>
      <deletedField name="Column5966"/>
      <deletedField name="Column5967"/>
      <deletedField name="Column5968"/>
      <deletedField name="Column5969"/>
      <deletedField name="Column5970"/>
      <deletedField name="Column5971"/>
      <deletedField name="Column5972"/>
      <deletedField name="Column5973"/>
      <deletedField name="Column5974"/>
      <deletedField name="Column5975"/>
      <deletedField name="Column5976"/>
      <deletedField name="Column5977"/>
      <deletedField name="Column5978"/>
      <deletedField name="Column5979"/>
      <deletedField name="Column5980"/>
      <deletedField name="Column5981"/>
      <deletedField name="Column5982"/>
      <deletedField name="Column5983"/>
      <deletedField name="Column5984"/>
      <deletedField name="Column5985"/>
      <deletedField name="Column5986"/>
      <deletedField name="Column5987"/>
      <deletedField name="Column5988"/>
      <deletedField name="Column5989"/>
      <deletedField name="Column5990"/>
      <deletedField name="Column5991"/>
      <deletedField name="Column5992"/>
      <deletedField name="Column5993"/>
      <deletedField name="Column5994"/>
      <deletedField name="Column5995"/>
      <deletedField name="Column5996"/>
      <deletedField name="Column5997"/>
      <deletedField name="Column5998"/>
      <deletedField name="Column5999"/>
      <deletedField name="Column6000"/>
      <deletedField name="Column6001"/>
      <deletedField name="Column6002"/>
      <deletedField name="Column6003"/>
      <deletedField name="Column6004"/>
      <deletedField name="Column6005"/>
      <deletedField name="Column6006"/>
      <deletedField name="Column6007"/>
      <deletedField name="Column6008"/>
      <deletedField name="Column6009"/>
      <deletedField name="Column6010"/>
      <deletedField name="Column6011"/>
      <deletedField name="Column6012"/>
      <deletedField name="Column6013"/>
      <deletedField name="Column6014"/>
      <deletedField name="Column6015"/>
      <deletedField name="Column6016"/>
      <deletedField name="Column6017"/>
      <deletedField name="Column6018"/>
      <deletedField name="Column6019"/>
      <deletedField name="Column6020"/>
      <deletedField name="Column6021"/>
      <deletedField name="Column6022"/>
      <deletedField name="Column6023"/>
      <deletedField name="Column6024"/>
      <deletedField name="Column6025"/>
      <deletedField name="Column6026"/>
      <deletedField name="Column6027"/>
      <deletedField name="Column6028"/>
      <deletedField name="Column6029"/>
      <deletedField name="Column6030"/>
      <deletedField name="Column6031"/>
      <deletedField name="Column6032"/>
      <deletedField name="Column6033"/>
      <deletedField name="Column6034"/>
      <deletedField name="Column6035"/>
      <deletedField name="Column6036"/>
      <deletedField name="Column6037"/>
      <deletedField name="Column6038"/>
      <deletedField name="Column6039"/>
      <deletedField name="Column6040"/>
      <deletedField name="Column6041"/>
      <deletedField name="Column6042"/>
      <deletedField name="Column6043"/>
      <deletedField name="Column6044"/>
      <deletedField name="Column6045"/>
      <deletedField name="Column6046"/>
      <deletedField name="Column6047"/>
      <deletedField name="Column6048"/>
      <deletedField name="Column6049"/>
      <deletedField name="Column6050"/>
      <deletedField name="Column6051"/>
      <deletedField name="Column6052"/>
      <deletedField name="Column6053"/>
      <deletedField name="Column6054"/>
      <deletedField name="Column6055"/>
      <deletedField name="Column6056"/>
      <deletedField name="Column6057"/>
      <deletedField name="Column6058"/>
      <deletedField name="Column6059"/>
      <deletedField name="Column6060"/>
      <deletedField name="Column6061"/>
      <deletedField name="Column6062"/>
      <deletedField name="Column6063"/>
      <deletedField name="Column6064"/>
      <deletedField name="Column6065"/>
      <deletedField name="Column6066"/>
      <deletedField name="Column6067"/>
      <deletedField name="Column6068"/>
      <deletedField name="Column6069"/>
      <deletedField name="Column6070"/>
      <deletedField name="Column6071"/>
      <deletedField name="Column6072"/>
      <deletedField name="Column6073"/>
      <deletedField name="Column6074"/>
      <deletedField name="Column6075"/>
      <deletedField name="Column6076"/>
      <deletedField name="Column6077"/>
      <deletedField name="Column6078"/>
      <deletedField name="Column6079"/>
      <deletedField name="Column6080"/>
      <deletedField name="Column6081"/>
      <deletedField name="Column6082"/>
      <deletedField name="Column6083"/>
      <deletedField name="Column6084"/>
      <deletedField name="Column6085"/>
      <deletedField name="Column6086"/>
      <deletedField name="Column6087"/>
      <deletedField name="Column6088"/>
      <deletedField name="Column6089"/>
      <deletedField name="Column6090"/>
      <deletedField name="Column6091"/>
      <deletedField name="Column6092"/>
      <deletedField name="Column6093"/>
      <deletedField name="Column6094"/>
      <deletedField name="Column6095"/>
      <deletedField name="Column6096"/>
      <deletedField name="Column6097"/>
      <deletedField name="Column6098"/>
      <deletedField name="Column6099"/>
      <deletedField name="Column6100"/>
      <deletedField name="Column6101"/>
      <deletedField name="Column6102"/>
      <deletedField name="Column6103"/>
      <deletedField name="Column6104"/>
      <deletedField name="Column6105"/>
      <deletedField name="Column6106"/>
      <deletedField name="Column6107"/>
      <deletedField name="Column6108"/>
      <deletedField name="Column6109"/>
      <deletedField name="Column6110"/>
      <deletedField name="Column6111"/>
      <deletedField name="Column6112"/>
      <deletedField name="Column6113"/>
      <deletedField name="Column6114"/>
      <deletedField name="Column6115"/>
      <deletedField name="Column6116"/>
      <deletedField name="Column6117"/>
      <deletedField name="Column6118"/>
      <deletedField name="Column6119"/>
      <deletedField name="Column6120"/>
      <deletedField name="Column6121"/>
      <deletedField name="Column6122"/>
      <deletedField name="Column6123"/>
      <deletedField name="Column6124"/>
      <deletedField name="Column6125"/>
      <deletedField name="Column6126"/>
      <deletedField name="Column6127"/>
      <deletedField name="Column6128"/>
      <deletedField name="Column6129"/>
      <deletedField name="Column6130"/>
      <deletedField name="Column6131"/>
      <deletedField name="Column6132"/>
      <deletedField name="Column6133"/>
      <deletedField name="Column6134"/>
      <deletedField name="Column6135"/>
      <deletedField name="Column6136"/>
      <deletedField name="Column6137"/>
      <deletedField name="Column6138"/>
      <deletedField name="Column6139"/>
      <deletedField name="Column6140"/>
      <deletedField name="Column6141"/>
      <deletedField name="Column6142"/>
      <deletedField name="Column6143"/>
      <deletedField name="Column6144"/>
      <deletedField name="Column6145"/>
      <deletedField name="Column6146"/>
      <deletedField name="Column6147"/>
      <deletedField name="Column6148"/>
      <deletedField name="Column6149"/>
      <deletedField name="Column6150"/>
      <deletedField name="Column6151"/>
      <deletedField name="Column6152"/>
      <deletedField name="Column6153"/>
      <deletedField name="Column6154"/>
      <deletedField name="Column6155"/>
      <deletedField name="Column6156"/>
      <deletedField name="Column6157"/>
      <deletedField name="Column6158"/>
      <deletedField name="Column6159"/>
      <deletedField name="Column6160"/>
      <deletedField name="Column6161"/>
      <deletedField name="Column6162"/>
      <deletedField name="Column6163"/>
      <deletedField name="Column6164"/>
      <deletedField name="Column6165"/>
      <deletedField name="Column6166"/>
      <deletedField name="Column6167"/>
      <deletedField name="Column6168"/>
      <deletedField name="Column6169"/>
      <deletedField name="Column6170"/>
      <deletedField name="Column6171"/>
      <deletedField name="Column6172"/>
      <deletedField name="Column6173"/>
      <deletedField name="Column6174"/>
      <deletedField name="Column6175"/>
      <deletedField name="Column6176"/>
      <deletedField name="Column6177"/>
      <deletedField name="Column6178"/>
      <deletedField name="Column6179"/>
      <deletedField name="Column6180"/>
      <deletedField name="Column6181"/>
      <deletedField name="Column6182"/>
      <deletedField name="Column6183"/>
      <deletedField name="Column6184"/>
      <deletedField name="Column6185"/>
      <deletedField name="Column6186"/>
      <deletedField name="Column6187"/>
      <deletedField name="Column6188"/>
      <deletedField name="Column6189"/>
      <deletedField name="Column6190"/>
      <deletedField name="Column6191"/>
      <deletedField name="Column6192"/>
      <deletedField name="Column6193"/>
      <deletedField name="Column6194"/>
      <deletedField name="Column6195"/>
      <deletedField name="Column6196"/>
      <deletedField name="Column6197"/>
      <deletedField name="Column6198"/>
      <deletedField name="Column6199"/>
      <deletedField name="Column6200"/>
      <deletedField name="Column6201"/>
      <deletedField name="Column6202"/>
      <deletedField name="Column6203"/>
      <deletedField name="Column6204"/>
      <deletedField name="Column6205"/>
      <deletedField name="Column6206"/>
      <deletedField name="Column6207"/>
      <deletedField name="Column6208"/>
      <deletedField name="Column6209"/>
      <deletedField name="Column6210"/>
      <deletedField name="Column6211"/>
      <deletedField name="Column6212"/>
      <deletedField name="Column6213"/>
      <deletedField name="Column6214"/>
      <deletedField name="Column6215"/>
      <deletedField name="Column6216"/>
      <deletedField name="Column6217"/>
      <deletedField name="Column6218"/>
      <deletedField name="Column6219"/>
      <deletedField name="Column6220"/>
      <deletedField name="Column6221"/>
      <deletedField name="Column6222"/>
      <deletedField name="Column6223"/>
      <deletedField name="Column6224"/>
      <deletedField name="Column6225"/>
      <deletedField name="Column6226"/>
      <deletedField name="Column6227"/>
      <deletedField name="Column6228"/>
      <deletedField name="Column6229"/>
      <deletedField name="Column6230"/>
      <deletedField name="Column6231"/>
      <deletedField name="Column6232"/>
      <deletedField name="Column6233"/>
      <deletedField name="Column6234"/>
      <deletedField name="Column6235"/>
      <deletedField name="Column6236"/>
      <deletedField name="Column6237"/>
      <deletedField name="Column6238"/>
      <deletedField name="Column6239"/>
      <deletedField name="Column6240"/>
      <deletedField name="Column6241"/>
      <deletedField name="Column6242"/>
      <deletedField name="Column6243"/>
      <deletedField name="Column6244"/>
      <deletedField name="Column6245"/>
      <deletedField name="Column6246"/>
      <deletedField name="Column6247"/>
      <deletedField name="Column6248"/>
      <deletedField name="Column6249"/>
      <deletedField name="Column6250"/>
      <deletedField name="Column6251"/>
      <deletedField name="Column6252"/>
      <deletedField name="Column6253"/>
      <deletedField name="Column6254"/>
      <deletedField name="Column6255"/>
      <deletedField name="Column6256"/>
      <deletedField name="Column6257"/>
      <deletedField name="Column6258"/>
      <deletedField name="Column6259"/>
      <deletedField name="Column6260"/>
      <deletedField name="Column6261"/>
      <deletedField name="Column6262"/>
      <deletedField name="Column6263"/>
      <deletedField name="Column6264"/>
      <deletedField name="Column6265"/>
      <deletedField name="Column6266"/>
      <deletedField name="Column6267"/>
      <deletedField name="Column6268"/>
      <deletedField name="Column6269"/>
      <deletedField name="Column6270"/>
      <deletedField name="Column6271"/>
      <deletedField name="Column6272"/>
      <deletedField name="Column6273"/>
      <deletedField name="Column6274"/>
      <deletedField name="Column6275"/>
      <deletedField name="Column6276"/>
      <deletedField name="Column6277"/>
      <deletedField name="Column6278"/>
      <deletedField name="Column6279"/>
      <deletedField name="Column6280"/>
      <deletedField name="Column6281"/>
      <deletedField name="Column6282"/>
      <deletedField name="Column6283"/>
      <deletedField name="Column6284"/>
      <deletedField name="Column6285"/>
      <deletedField name="Column6286"/>
      <deletedField name="Column6287"/>
      <deletedField name="Column6288"/>
      <deletedField name="Column6289"/>
      <deletedField name="Column6290"/>
      <deletedField name="Column6291"/>
      <deletedField name="Column6292"/>
      <deletedField name="Column6293"/>
      <deletedField name="Column6294"/>
      <deletedField name="Column6295"/>
      <deletedField name="Column6296"/>
      <deletedField name="Column6297"/>
      <deletedField name="Column6298"/>
      <deletedField name="Column6299"/>
      <deletedField name="Column6300"/>
      <deletedField name="Column6301"/>
      <deletedField name="Column6302"/>
      <deletedField name="Column6303"/>
      <deletedField name="Column6304"/>
      <deletedField name="Column6305"/>
      <deletedField name="Column6306"/>
      <deletedField name="Column6307"/>
      <deletedField name="Column6308"/>
      <deletedField name="Column6309"/>
      <deletedField name="Column6310"/>
      <deletedField name="Column6311"/>
      <deletedField name="Column6312"/>
      <deletedField name="Column6313"/>
      <deletedField name="Column6314"/>
      <deletedField name="Column6315"/>
      <deletedField name="Column6316"/>
      <deletedField name="Column6317"/>
      <deletedField name="Column6318"/>
      <deletedField name="Column6319"/>
      <deletedField name="Column6320"/>
      <deletedField name="Column6321"/>
      <deletedField name="Column6322"/>
      <deletedField name="Column6323"/>
      <deletedField name="Column6324"/>
      <deletedField name="Column6325"/>
      <deletedField name="Column6326"/>
      <deletedField name="Column6327"/>
      <deletedField name="Column6328"/>
      <deletedField name="Column6329"/>
      <deletedField name="Column6330"/>
      <deletedField name="Column6331"/>
      <deletedField name="Column6332"/>
      <deletedField name="Column6333"/>
      <deletedField name="Column6334"/>
      <deletedField name="Column6335"/>
      <deletedField name="Column6336"/>
      <deletedField name="Column6337"/>
      <deletedField name="Column6338"/>
      <deletedField name="Column6339"/>
      <deletedField name="Column6340"/>
      <deletedField name="Column6341"/>
      <deletedField name="Column6342"/>
      <deletedField name="Column6343"/>
      <deletedField name="Column6344"/>
      <deletedField name="Column6345"/>
      <deletedField name="Column6346"/>
      <deletedField name="Column6347"/>
      <deletedField name="Column6348"/>
      <deletedField name="Column6349"/>
      <deletedField name="Column6350"/>
      <deletedField name="Column6351"/>
      <deletedField name="Column6352"/>
      <deletedField name="Column6353"/>
      <deletedField name="Column6354"/>
      <deletedField name="Column6355"/>
      <deletedField name="Column6356"/>
      <deletedField name="Column6357"/>
      <deletedField name="Column6358"/>
      <deletedField name="Column6359"/>
      <deletedField name="Column6360"/>
      <deletedField name="Column6361"/>
      <deletedField name="Column6362"/>
      <deletedField name="Column6363"/>
      <deletedField name="Column6364"/>
      <deletedField name="Column6365"/>
      <deletedField name="Column6366"/>
      <deletedField name="Column6367"/>
      <deletedField name="Column6368"/>
      <deletedField name="Column6369"/>
      <deletedField name="Column6370"/>
      <deletedField name="Column6371"/>
      <deletedField name="Column6372"/>
      <deletedField name="Column6373"/>
      <deletedField name="Column6374"/>
      <deletedField name="Column6375"/>
      <deletedField name="Column6376"/>
      <deletedField name="Column6377"/>
      <deletedField name="Column6378"/>
      <deletedField name="Column6379"/>
      <deletedField name="Column6380"/>
      <deletedField name="Column6381"/>
      <deletedField name="Column6382"/>
      <deletedField name="Column6383"/>
      <deletedField name="Column6384"/>
      <deletedField name="Column6385"/>
      <deletedField name="Column6386"/>
      <deletedField name="Column6387"/>
      <deletedField name="Column6388"/>
      <deletedField name="Column6389"/>
      <deletedField name="Column6390"/>
      <deletedField name="Column6391"/>
      <deletedField name="Column6392"/>
      <deletedField name="Column6393"/>
      <deletedField name="Column6394"/>
      <deletedField name="Column6395"/>
      <deletedField name="Column6396"/>
      <deletedField name="Column6397"/>
      <deletedField name="Column6398"/>
      <deletedField name="Column6399"/>
      <deletedField name="Column6400"/>
      <deletedField name="Column6401"/>
      <deletedField name="Column6402"/>
      <deletedField name="Column6403"/>
      <deletedField name="Column6404"/>
      <deletedField name="Column6405"/>
      <deletedField name="Column6406"/>
      <deletedField name="Column6407"/>
      <deletedField name="Column6408"/>
      <deletedField name="Column6409"/>
      <deletedField name="Column6410"/>
      <deletedField name="Column6411"/>
      <deletedField name="Column6412"/>
      <deletedField name="Column6413"/>
      <deletedField name="Column6414"/>
      <deletedField name="Column6415"/>
      <deletedField name="Column6416"/>
      <deletedField name="Column6417"/>
      <deletedField name="Column6418"/>
      <deletedField name="Column6419"/>
      <deletedField name="Column6420"/>
      <deletedField name="Column6421"/>
      <deletedField name="Column6422"/>
      <deletedField name="Column6423"/>
      <deletedField name="Column6424"/>
      <deletedField name="Column6425"/>
      <deletedField name="Column6426"/>
      <deletedField name="Column6427"/>
      <deletedField name="Column6428"/>
      <deletedField name="Column6429"/>
      <deletedField name="Column6430"/>
      <deletedField name="Column6431"/>
      <deletedField name="Column6432"/>
      <deletedField name="Column6433"/>
      <deletedField name="Column6434"/>
      <deletedField name="Column6435"/>
      <deletedField name="Column6436"/>
      <deletedField name="Column6437"/>
      <deletedField name="Column6438"/>
      <deletedField name="Column6439"/>
      <deletedField name="Column6440"/>
      <deletedField name="Column6441"/>
      <deletedField name="Column6442"/>
      <deletedField name="Column6443"/>
      <deletedField name="Column6444"/>
      <deletedField name="Column6445"/>
      <deletedField name="Column6446"/>
      <deletedField name="Column6447"/>
      <deletedField name="Column6448"/>
      <deletedField name="Column6449"/>
      <deletedField name="Column6450"/>
      <deletedField name="Column6451"/>
      <deletedField name="Column6452"/>
      <deletedField name="Column6453"/>
      <deletedField name="Column6454"/>
      <deletedField name="Column6455"/>
      <deletedField name="Column6456"/>
      <deletedField name="Column6457"/>
      <deletedField name="Column6458"/>
      <deletedField name="Column6459"/>
      <deletedField name="Column6460"/>
      <deletedField name="Column6461"/>
      <deletedField name="Column6462"/>
      <deletedField name="Column6463"/>
      <deletedField name="Column6464"/>
      <deletedField name="Column6465"/>
      <deletedField name="Column6466"/>
      <deletedField name="Column6467"/>
      <deletedField name="Column6468"/>
      <deletedField name="Column6469"/>
      <deletedField name="Column6470"/>
      <deletedField name="Column6471"/>
      <deletedField name="Column6472"/>
      <deletedField name="Column6473"/>
      <deletedField name="Column6474"/>
      <deletedField name="Column6475"/>
      <deletedField name="Column6476"/>
      <deletedField name="Column6477"/>
      <deletedField name="Column6478"/>
      <deletedField name="Column6479"/>
      <deletedField name="Column6480"/>
      <deletedField name="Column6481"/>
      <deletedField name="Column6482"/>
      <deletedField name="Column6483"/>
      <deletedField name="Column6484"/>
      <deletedField name="Column6485"/>
      <deletedField name="Column6486"/>
      <deletedField name="Column6487"/>
      <deletedField name="Column6488"/>
      <deletedField name="Column6489"/>
      <deletedField name="Column6490"/>
      <deletedField name="Column6491"/>
      <deletedField name="Column6492"/>
      <deletedField name="Column6493"/>
      <deletedField name="Column6494"/>
      <deletedField name="Column6495"/>
      <deletedField name="Column6496"/>
      <deletedField name="Column6497"/>
      <deletedField name="Column6498"/>
      <deletedField name="Column6499"/>
      <deletedField name="Column6500"/>
      <deletedField name="Column6501"/>
      <deletedField name="Column6502"/>
      <deletedField name="Column6503"/>
      <deletedField name="Column6504"/>
      <deletedField name="Column6505"/>
      <deletedField name="Column6506"/>
      <deletedField name="Column6507"/>
      <deletedField name="Column6508"/>
      <deletedField name="Column6509"/>
      <deletedField name="Column6510"/>
      <deletedField name="Column6511"/>
      <deletedField name="Column6512"/>
      <deletedField name="Column6513"/>
      <deletedField name="Column6514"/>
      <deletedField name="Column6515"/>
      <deletedField name="Column6516"/>
      <deletedField name="Column6517"/>
      <deletedField name="Column6518"/>
      <deletedField name="Column6519"/>
      <deletedField name="Column6520"/>
      <deletedField name="Column6521"/>
      <deletedField name="Column6522"/>
      <deletedField name="Column6523"/>
      <deletedField name="Column6524"/>
      <deletedField name="Column6525"/>
      <deletedField name="Column6526"/>
      <deletedField name="Column6527"/>
      <deletedField name="Column6528"/>
      <deletedField name="Column6529"/>
      <deletedField name="Column6530"/>
      <deletedField name="Column6531"/>
      <deletedField name="Column6532"/>
      <deletedField name="Column6533"/>
      <deletedField name="Column6534"/>
      <deletedField name="Column6535"/>
      <deletedField name="Column6536"/>
      <deletedField name="Column6537"/>
      <deletedField name="Column6538"/>
      <deletedField name="Column6539"/>
      <deletedField name="Column6540"/>
      <deletedField name="Column6541"/>
      <deletedField name="Column6542"/>
      <deletedField name="Column6543"/>
      <deletedField name="Column6544"/>
      <deletedField name="Column6545"/>
      <deletedField name="Column6546"/>
      <deletedField name="Column6547"/>
      <deletedField name="Column6548"/>
      <deletedField name="Column6549"/>
      <deletedField name="Column6550"/>
      <deletedField name="Column6551"/>
      <deletedField name="Column6552"/>
      <deletedField name="Column6553"/>
      <deletedField name="Column6554"/>
      <deletedField name="Column6555"/>
      <deletedField name="Column6556"/>
      <deletedField name="Column6557"/>
      <deletedField name="Column6558"/>
      <deletedField name="Column6559"/>
      <deletedField name="Column6560"/>
      <deletedField name="Column6561"/>
      <deletedField name="Column6562"/>
      <deletedField name="Column6563"/>
      <deletedField name="Column6564"/>
      <deletedField name="Column6565"/>
      <deletedField name="Column6566"/>
      <deletedField name="Column6567"/>
      <deletedField name="Column6568"/>
      <deletedField name="Column6569"/>
      <deletedField name="Column6570"/>
      <deletedField name="Column6571"/>
      <deletedField name="Column6572"/>
      <deletedField name="Column6573"/>
      <deletedField name="Column6574"/>
      <deletedField name="Column6575"/>
      <deletedField name="Column6576"/>
      <deletedField name="Column6577"/>
      <deletedField name="Column6578"/>
      <deletedField name="Column6579"/>
      <deletedField name="Column6580"/>
      <deletedField name="Column6581"/>
      <deletedField name="Column6582"/>
      <deletedField name="Column6583"/>
      <deletedField name="Column6584"/>
      <deletedField name="Column6585"/>
      <deletedField name="Column6586"/>
      <deletedField name="Column6587"/>
      <deletedField name="Column6588"/>
      <deletedField name="Column6589"/>
      <deletedField name="Column6590"/>
      <deletedField name="Column6591"/>
      <deletedField name="Column6592"/>
      <deletedField name="Column6593"/>
      <deletedField name="Column6594"/>
      <deletedField name="Column6595"/>
      <deletedField name="Column6596"/>
      <deletedField name="Column6597"/>
      <deletedField name="Column6598"/>
      <deletedField name="Column6599"/>
      <deletedField name="Column6600"/>
      <deletedField name="Column6601"/>
      <deletedField name="Column6602"/>
      <deletedField name="Column6603"/>
      <deletedField name="Column6604"/>
      <deletedField name="Column6605"/>
      <deletedField name="Column6606"/>
      <deletedField name="Column6607"/>
      <deletedField name="Column6608"/>
      <deletedField name="Column6609"/>
      <deletedField name="Column6610"/>
      <deletedField name="Column6611"/>
      <deletedField name="Column6612"/>
      <deletedField name="Column6613"/>
      <deletedField name="Column6614"/>
      <deletedField name="Column6615"/>
      <deletedField name="Column6616"/>
      <deletedField name="Column6617"/>
      <deletedField name="Column6618"/>
      <deletedField name="Column6619"/>
      <deletedField name="Column6620"/>
      <deletedField name="Column6621"/>
      <deletedField name="Column6622"/>
      <deletedField name="Column6623"/>
      <deletedField name="Column6624"/>
      <deletedField name="Column6625"/>
      <deletedField name="Column6626"/>
      <deletedField name="Column6627"/>
      <deletedField name="Column6628"/>
      <deletedField name="Column6629"/>
      <deletedField name="Column6630"/>
      <deletedField name="Column6631"/>
      <deletedField name="Column6632"/>
      <deletedField name="Column6633"/>
      <deletedField name="Column6634"/>
      <deletedField name="Column6635"/>
      <deletedField name="Column6636"/>
      <deletedField name="Column6637"/>
      <deletedField name="Column6638"/>
      <deletedField name="Column6639"/>
      <deletedField name="Column6640"/>
      <deletedField name="Column6641"/>
      <deletedField name="Column6642"/>
      <deletedField name="Column6643"/>
      <deletedField name="Column6644"/>
      <deletedField name="Column6645"/>
      <deletedField name="Column6646"/>
      <deletedField name="Column6647"/>
      <deletedField name="Column6648"/>
      <deletedField name="Column6649"/>
      <deletedField name="Column6650"/>
      <deletedField name="Column6651"/>
      <deletedField name="Column6652"/>
      <deletedField name="Column6653"/>
      <deletedField name="Column6654"/>
      <deletedField name="Column6655"/>
      <deletedField name="Column6656"/>
      <deletedField name="Column6657"/>
      <deletedField name="Column6658"/>
      <deletedField name="Column6659"/>
      <deletedField name="Column6660"/>
      <deletedField name="Column6661"/>
      <deletedField name="Column6662"/>
      <deletedField name="Column6663"/>
      <deletedField name="Column6664"/>
      <deletedField name="Column6665"/>
      <deletedField name="Column6666"/>
      <deletedField name="Column6667"/>
      <deletedField name="Column6668"/>
      <deletedField name="Column6669"/>
      <deletedField name="Column6670"/>
      <deletedField name="Column6671"/>
      <deletedField name="Column6672"/>
      <deletedField name="Column6673"/>
      <deletedField name="Column6674"/>
      <deletedField name="Column6675"/>
      <deletedField name="Column6676"/>
      <deletedField name="Column6677"/>
      <deletedField name="Column6678"/>
      <deletedField name="Column6679"/>
      <deletedField name="Column6680"/>
      <deletedField name="Column6681"/>
      <deletedField name="Column6682"/>
      <deletedField name="Column6683"/>
      <deletedField name="Column6684"/>
      <deletedField name="Column6685"/>
      <deletedField name="Column6686"/>
      <deletedField name="Column6687"/>
      <deletedField name="Column6688"/>
      <deletedField name="Column6689"/>
      <deletedField name="Column6690"/>
      <deletedField name="Column6691"/>
      <deletedField name="Column6692"/>
      <deletedField name="Column6693"/>
      <deletedField name="Column6694"/>
      <deletedField name="Column6695"/>
      <deletedField name="Column6696"/>
      <deletedField name="Column6697"/>
      <deletedField name="Column6698"/>
      <deletedField name="Column6699"/>
      <deletedField name="Column6700"/>
      <deletedField name="Column6701"/>
      <deletedField name="Column6702"/>
      <deletedField name="Column6703"/>
      <deletedField name="Column6704"/>
      <deletedField name="Column6705"/>
      <deletedField name="Column6706"/>
      <deletedField name="Column6707"/>
      <deletedField name="Column6708"/>
      <deletedField name="Column6709"/>
      <deletedField name="Column6710"/>
      <deletedField name="Column6711"/>
      <deletedField name="Column6712"/>
      <deletedField name="Column6713"/>
      <deletedField name="Column6714"/>
      <deletedField name="Column6715"/>
      <deletedField name="Column6716"/>
      <deletedField name="Column6717"/>
      <deletedField name="Column6718"/>
      <deletedField name="Column6719"/>
      <deletedField name="Column6720"/>
      <deletedField name="Column6721"/>
      <deletedField name="Column6722"/>
      <deletedField name="Column6723"/>
      <deletedField name="Column6724"/>
      <deletedField name="Column6725"/>
      <deletedField name="Column6726"/>
      <deletedField name="Column6727"/>
      <deletedField name="Column6728"/>
      <deletedField name="Column6729"/>
      <deletedField name="Column6730"/>
      <deletedField name="Column6731"/>
      <deletedField name="Column6732"/>
      <deletedField name="Column6733"/>
      <deletedField name="Column6734"/>
      <deletedField name="Column6735"/>
      <deletedField name="Column6736"/>
      <deletedField name="Column6737"/>
      <deletedField name="Column6738"/>
      <deletedField name="Column6739"/>
      <deletedField name="Column6740"/>
      <deletedField name="Column6741"/>
      <deletedField name="Column6742"/>
      <deletedField name="Column6743"/>
      <deletedField name="Column6744"/>
      <deletedField name="Column6745"/>
      <deletedField name="Column6746"/>
      <deletedField name="Column6747"/>
      <deletedField name="Column6748"/>
      <deletedField name="Column6749"/>
      <deletedField name="Column6750"/>
      <deletedField name="Column6751"/>
      <deletedField name="Column6752"/>
      <deletedField name="Column6753"/>
      <deletedField name="Column6754"/>
      <deletedField name="Column6755"/>
      <deletedField name="Column6756"/>
      <deletedField name="Column6757"/>
      <deletedField name="Column6758"/>
      <deletedField name="Column6759"/>
      <deletedField name="Column6760"/>
      <deletedField name="Column6761"/>
      <deletedField name="Column6762"/>
      <deletedField name="Column6763"/>
      <deletedField name="Column6764"/>
      <deletedField name="Column6765"/>
      <deletedField name="Column6766"/>
      <deletedField name="Column6767"/>
      <deletedField name="Column6768"/>
      <deletedField name="Column6769"/>
      <deletedField name="Column6770"/>
      <deletedField name="Column6771"/>
      <deletedField name="Column6772"/>
      <deletedField name="Column6773"/>
      <deletedField name="Column6774"/>
      <deletedField name="Column6775"/>
      <deletedField name="Column6776"/>
      <deletedField name="Column6777"/>
      <deletedField name="Column6778"/>
      <deletedField name="Column6779"/>
      <deletedField name="Column6780"/>
      <deletedField name="Column6781"/>
      <deletedField name="Column6782"/>
      <deletedField name="Column6783"/>
      <deletedField name="Column6784"/>
      <deletedField name="Column6785"/>
      <deletedField name="Column6786"/>
      <deletedField name="Column6787"/>
      <deletedField name="Column6788"/>
      <deletedField name="Column6789"/>
      <deletedField name="Column6790"/>
      <deletedField name="Column6791"/>
      <deletedField name="Column6792"/>
      <deletedField name="Column6793"/>
      <deletedField name="Column6794"/>
      <deletedField name="Column6795"/>
      <deletedField name="Column6796"/>
      <deletedField name="Column6797"/>
      <deletedField name="Column6798"/>
      <deletedField name="Column6799"/>
      <deletedField name="Column6800"/>
      <deletedField name="Column6801"/>
      <deletedField name="Column6802"/>
      <deletedField name="Column6803"/>
      <deletedField name="Column6804"/>
      <deletedField name="Column6805"/>
      <deletedField name="Column6806"/>
      <deletedField name="Column6807"/>
      <deletedField name="Column6808"/>
      <deletedField name="Column6809"/>
      <deletedField name="Column6810"/>
      <deletedField name="Column6811"/>
      <deletedField name="Column6812"/>
      <deletedField name="Column6813"/>
      <deletedField name="Column6814"/>
      <deletedField name="Column6815"/>
      <deletedField name="Column6816"/>
      <deletedField name="Column6817"/>
      <deletedField name="Column6818"/>
      <deletedField name="Column6819"/>
      <deletedField name="Column6820"/>
      <deletedField name="Column6821"/>
      <deletedField name="Column6822"/>
      <deletedField name="Column6823"/>
      <deletedField name="Column6824"/>
      <deletedField name="Column6825"/>
      <deletedField name="Column6826"/>
      <deletedField name="Column6827"/>
      <deletedField name="Column6828"/>
      <deletedField name="Column6829"/>
      <deletedField name="Column6830"/>
      <deletedField name="Column6831"/>
      <deletedField name="Column6832"/>
      <deletedField name="Column6833"/>
      <deletedField name="Column6834"/>
      <deletedField name="Column6835"/>
      <deletedField name="Column6836"/>
      <deletedField name="Column6837"/>
      <deletedField name="Column6838"/>
      <deletedField name="Column6839"/>
      <deletedField name="Column6840"/>
      <deletedField name="Column6841"/>
      <deletedField name="Column6842"/>
      <deletedField name="Column6843"/>
      <deletedField name="Column6844"/>
      <deletedField name="Column6845"/>
      <deletedField name="Column6846"/>
      <deletedField name="Column6847"/>
      <deletedField name="Column6848"/>
      <deletedField name="Column6849"/>
      <deletedField name="Column6850"/>
      <deletedField name="Column6851"/>
      <deletedField name="Column6852"/>
      <deletedField name="Column6853"/>
      <deletedField name="Column6854"/>
      <deletedField name="Column6855"/>
      <deletedField name="Column6856"/>
      <deletedField name="Column6857"/>
      <deletedField name="Column6858"/>
      <deletedField name="Column6859"/>
      <deletedField name="Column6860"/>
      <deletedField name="Column6861"/>
      <deletedField name="Column6862"/>
      <deletedField name="Column6863"/>
      <deletedField name="Column6864"/>
      <deletedField name="Column6865"/>
      <deletedField name="Column6866"/>
      <deletedField name="Column6867"/>
      <deletedField name="Column6868"/>
      <deletedField name="Column6869"/>
      <deletedField name="Column6870"/>
      <deletedField name="Column6871"/>
      <deletedField name="Column6872"/>
      <deletedField name="Column6873"/>
      <deletedField name="Column6874"/>
      <deletedField name="Column6875"/>
      <deletedField name="Column6876"/>
      <deletedField name="Column6877"/>
      <deletedField name="Column6878"/>
      <deletedField name="Column6879"/>
      <deletedField name="Column6880"/>
      <deletedField name="Column6881"/>
      <deletedField name="Column6882"/>
      <deletedField name="Column6883"/>
      <deletedField name="Column6884"/>
      <deletedField name="Column6885"/>
      <deletedField name="Column6886"/>
      <deletedField name="Column6887"/>
      <deletedField name="Column6888"/>
      <deletedField name="Column6889"/>
      <deletedField name="Column6890"/>
      <deletedField name="Column6891"/>
      <deletedField name="Column6892"/>
      <deletedField name="Column6893"/>
      <deletedField name="Column6894"/>
      <deletedField name="Column6895"/>
      <deletedField name="Column6896"/>
      <deletedField name="Column6897"/>
      <deletedField name="Column6898"/>
      <deletedField name="Column6899"/>
      <deletedField name="Column6900"/>
      <deletedField name="Column6901"/>
      <deletedField name="Column6902"/>
      <deletedField name="Column6903"/>
      <deletedField name="Column6904"/>
      <deletedField name="Column6905"/>
      <deletedField name="Column6906"/>
      <deletedField name="Column6907"/>
      <deletedField name="Column6908"/>
      <deletedField name="Column6909"/>
      <deletedField name="Column6910"/>
      <deletedField name="Column6911"/>
      <deletedField name="Column6912"/>
      <deletedField name="Column6913"/>
      <deletedField name="Column6914"/>
      <deletedField name="Column6915"/>
      <deletedField name="Column6916"/>
      <deletedField name="Column6917"/>
      <deletedField name="Column6918"/>
      <deletedField name="Column6919"/>
      <deletedField name="Column6920"/>
      <deletedField name="Column6921"/>
      <deletedField name="Column6922"/>
      <deletedField name="Column6923"/>
      <deletedField name="Column6924"/>
      <deletedField name="Column6925"/>
      <deletedField name="Column6926"/>
      <deletedField name="Column6927"/>
      <deletedField name="Column6928"/>
      <deletedField name="Column6929"/>
      <deletedField name="Column6930"/>
      <deletedField name="Column6931"/>
      <deletedField name="Column6932"/>
      <deletedField name="Column6933"/>
      <deletedField name="Column6934"/>
      <deletedField name="Column6935"/>
      <deletedField name="Column6936"/>
      <deletedField name="Column6937"/>
      <deletedField name="Column6938"/>
      <deletedField name="Column6939"/>
      <deletedField name="Column6940"/>
      <deletedField name="Column6941"/>
      <deletedField name="Column6942"/>
      <deletedField name="Column6943"/>
      <deletedField name="Column6944"/>
      <deletedField name="Column6945"/>
      <deletedField name="Column6946"/>
      <deletedField name="Column6947"/>
      <deletedField name="Column6948"/>
      <deletedField name="Column6949"/>
      <deletedField name="Column6950"/>
      <deletedField name="Column6951"/>
      <deletedField name="Column6952"/>
      <deletedField name="Column6953"/>
      <deletedField name="Column6954"/>
      <deletedField name="Column6955"/>
      <deletedField name="Column6956"/>
      <deletedField name="Column6957"/>
      <deletedField name="Column6958"/>
      <deletedField name="Column6959"/>
      <deletedField name="Column6960"/>
      <deletedField name="Column6961"/>
      <deletedField name="Column6962"/>
      <deletedField name="Column6963"/>
      <deletedField name="Column6964"/>
      <deletedField name="Column6965"/>
      <deletedField name="Column6966"/>
      <deletedField name="Column6967"/>
      <deletedField name="Column6968"/>
      <deletedField name="Column6969"/>
      <deletedField name="Column6970"/>
      <deletedField name="Column6971"/>
      <deletedField name="Column6972"/>
      <deletedField name="Column6973"/>
      <deletedField name="Column6974"/>
      <deletedField name="Column6975"/>
      <deletedField name="Column6976"/>
      <deletedField name="Column6977"/>
      <deletedField name="Column6978"/>
      <deletedField name="Column6979"/>
      <deletedField name="Column6980"/>
      <deletedField name="Column6981"/>
      <deletedField name="Column6982"/>
      <deletedField name="Column6983"/>
      <deletedField name="Column6984"/>
      <deletedField name="Column6985"/>
      <deletedField name="Column6986"/>
      <deletedField name="Column6987"/>
      <deletedField name="Column6988"/>
      <deletedField name="Column6989"/>
      <deletedField name="Column6990"/>
      <deletedField name="Column6991"/>
      <deletedField name="Column6992"/>
      <deletedField name="Column6993"/>
      <deletedField name="Column6994"/>
      <deletedField name="Column6995"/>
      <deletedField name="Column6996"/>
      <deletedField name="Column6997"/>
      <deletedField name="Column6998"/>
      <deletedField name="Column6999"/>
      <deletedField name="Column7000"/>
      <deletedField name="Column7001"/>
      <deletedField name="Column7002"/>
      <deletedField name="Column7003"/>
      <deletedField name="Column7004"/>
      <deletedField name="Column7005"/>
      <deletedField name="Column7006"/>
      <deletedField name="Column7007"/>
      <deletedField name="Column7008"/>
      <deletedField name="Column7009"/>
      <deletedField name="Column7010"/>
      <deletedField name="Column7011"/>
      <deletedField name="Column7012"/>
      <deletedField name="Column7013"/>
      <deletedField name="Column7014"/>
      <deletedField name="Column7015"/>
      <deletedField name="Column7016"/>
      <deletedField name="Column7017"/>
      <deletedField name="Column7018"/>
      <deletedField name="Column7019"/>
      <deletedField name="Column7020"/>
      <deletedField name="Column7021"/>
      <deletedField name="Column7022"/>
      <deletedField name="Column7023"/>
      <deletedField name="Column7024"/>
      <deletedField name="Column7025"/>
      <deletedField name="Column7026"/>
      <deletedField name="Column7027"/>
      <deletedField name="Column7028"/>
      <deletedField name="Column7029"/>
      <deletedField name="Column7030"/>
      <deletedField name="Column7031"/>
      <deletedField name="Column7032"/>
      <deletedField name="Column7033"/>
      <deletedField name="Column7034"/>
      <deletedField name="Column7035"/>
      <deletedField name="Column7036"/>
      <deletedField name="Column7037"/>
      <deletedField name="Column7038"/>
      <deletedField name="Column7039"/>
      <deletedField name="Column7040"/>
      <deletedField name="Column7041"/>
      <deletedField name="Column7042"/>
      <deletedField name="Column7043"/>
      <deletedField name="Column7044"/>
      <deletedField name="Column7045"/>
      <deletedField name="Column7046"/>
      <deletedField name="Column7047"/>
      <deletedField name="Column7048"/>
      <deletedField name="Column7049"/>
      <deletedField name="Column7050"/>
      <deletedField name="Column7051"/>
      <deletedField name="Column7052"/>
      <deletedField name="Column7053"/>
      <deletedField name="Column7054"/>
      <deletedField name="Column7055"/>
      <deletedField name="Column7056"/>
      <deletedField name="Column7057"/>
      <deletedField name="Column7058"/>
      <deletedField name="Column7059"/>
      <deletedField name="Column7060"/>
      <deletedField name="Column7061"/>
      <deletedField name="Column7062"/>
      <deletedField name="Column7063"/>
      <deletedField name="Column7064"/>
      <deletedField name="Column7065"/>
      <deletedField name="Column7066"/>
      <deletedField name="Column7067"/>
      <deletedField name="Column7068"/>
      <deletedField name="Column7069"/>
      <deletedField name="Column7070"/>
      <deletedField name="Column7071"/>
      <deletedField name="Column7072"/>
      <deletedField name="Column7073"/>
      <deletedField name="Column7074"/>
      <deletedField name="Column7075"/>
      <deletedField name="Column7076"/>
      <deletedField name="Column7077"/>
      <deletedField name="Column7078"/>
      <deletedField name="Column7079"/>
      <deletedField name="Column7080"/>
      <deletedField name="Column7081"/>
      <deletedField name="Column7082"/>
      <deletedField name="Column7083"/>
      <deletedField name="Column7084"/>
      <deletedField name="Column7085"/>
      <deletedField name="Column7086"/>
      <deletedField name="Column7087"/>
      <deletedField name="Column7088"/>
      <deletedField name="Column7089"/>
      <deletedField name="Column7090"/>
      <deletedField name="Column7091"/>
      <deletedField name="Column7092"/>
      <deletedField name="Column7093"/>
      <deletedField name="Column7094"/>
      <deletedField name="Column7095"/>
      <deletedField name="Column7096"/>
      <deletedField name="Column7097"/>
      <deletedField name="Column7098"/>
      <deletedField name="Column7099"/>
      <deletedField name="Column7100"/>
      <deletedField name="Column7101"/>
      <deletedField name="Column7102"/>
      <deletedField name="Column7103"/>
      <deletedField name="Column7104"/>
      <deletedField name="Column7105"/>
      <deletedField name="Column7106"/>
      <deletedField name="Column7107"/>
      <deletedField name="Column7108"/>
      <deletedField name="Column7109"/>
      <deletedField name="Column7110"/>
      <deletedField name="Column7111"/>
      <deletedField name="Column7112"/>
      <deletedField name="Column7113"/>
      <deletedField name="Column7114"/>
      <deletedField name="Column7115"/>
      <deletedField name="Column7116"/>
      <deletedField name="Column7117"/>
      <deletedField name="Column7118"/>
      <deletedField name="Column7119"/>
      <deletedField name="Column7120"/>
      <deletedField name="Column7121"/>
      <deletedField name="Column7122"/>
      <deletedField name="Column7123"/>
      <deletedField name="Column7124"/>
      <deletedField name="Column7125"/>
      <deletedField name="Column7126"/>
      <deletedField name="Column7127"/>
      <deletedField name="Column7128"/>
      <deletedField name="Column7129"/>
      <deletedField name="Column7130"/>
      <deletedField name="Column7131"/>
      <deletedField name="Column7132"/>
      <deletedField name="Column7133"/>
      <deletedField name="Column7134"/>
      <deletedField name="Column7135"/>
      <deletedField name="Column7136"/>
      <deletedField name="Column7137"/>
      <deletedField name="Column7138"/>
      <deletedField name="Column7139"/>
      <deletedField name="Column7140"/>
      <deletedField name="Column7141"/>
      <deletedField name="Column7142"/>
      <deletedField name="Column7143"/>
      <deletedField name="Column7144"/>
      <deletedField name="Column7145"/>
      <deletedField name="Column7146"/>
      <deletedField name="Column7147"/>
      <deletedField name="Column7148"/>
      <deletedField name="Column7149"/>
      <deletedField name="Column7150"/>
      <deletedField name="Column7151"/>
      <deletedField name="Column7152"/>
      <deletedField name="Column7153"/>
      <deletedField name="Column7154"/>
      <deletedField name="Column7155"/>
      <deletedField name="Column7156"/>
      <deletedField name="Column7157"/>
      <deletedField name="Column7158"/>
      <deletedField name="Column7159"/>
      <deletedField name="Column7160"/>
      <deletedField name="Column7161"/>
      <deletedField name="Column7162"/>
      <deletedField name="Column7163"/>
      <deletedField name="Column7164"/>
      <deletedField name="Column7165"/>
      <deletedField name="Column7166"/>
      <deletedField name="Column7167"/>
      <deletedField name="Column7168"/>
      <deletedField name="Column7169"/>
      <deletedField name="Column7170"/>
      <deletedField name="Column7171"/>
      <deletedField name="Column7172"/>
      <deletedField name="Column7173"/>
      <deletedField name="Column7174"/>
      <deletedField name="Column7175"/>
      <deletedField name="Column7176"/>
      <deletedField name="Column7177"/>
      <deletedField name="Column7178"/>
      <deletedField name="Column7179"/>
      <deletedField name="Column7180"/>
      <deletedField name="Column7181"/>
      <deletedField name="Column7182"/>
      <deletedField name="Column7183"/>
      <deletedField name="Column7184"/>
      <deletedField name="Column7185"/>
      <deletedField name="Column7186"/>
      <deletedField name="Column7187"/>
      <deletedField name="Column7188"/>
      <deletedField name="Column7189"/>
      <deletedField name="Column7190"/>
      <deletedField name="Column7191"/>
      <deletedField name="Column7192"/>
      <deletedField name="Column7193"/>
      <deletedField name="Column7194"/>
      <deletedField name="Column7195"/>
      <deletedField name="Column7196"/>
      <deletedField name="Column7197"/>
      <deletedField name="Column7198"/>
      <deletedField name="Column7199"/>
      <deletedField name="Column7200"/>
      <deletedField name="Column7201"/>
      <deletedField name="Column7202"/>
      <deletedField name="Column7203"/>
      <deletedField name="Column7204"/>
      <deletedField name="Column7205"/>
      <deletedField name="Column7206"/>
      <deletedField name="Column7207"/>
      <deletedField name="Column7208"/>
      <deletedField name="Column7209"/>
      <deletedField name="Column7210"/>
      <deletedField name="Column7211"/>
      <deletedField name="Column7212"/>
      <deletedField name="Column7213"/>
      <deletedField name="Column7214"/>
      <deletedField name="Column7215"/>
      <deletedField name="Column7216"/>
      <deletedField name="Column7217"/>
      <deletedField name="Column7218"/>
      <deletedField name="Column7219"/>
      <deletedField name="Column7220"/>
      <deletedField name="Column7221"/>
      <deletedField name="Column7222"/>
      <deletedField name="Column7223"/>
      <deletedField name="Column7224"/>
      <deletedField name="Column7225"/>
      <deletedField name="Column7226"/>
      <deletedField name="Column7227"/>
      <deletedField name="Column7228"/>
      <deletedField name="Column7229"/>
      <deletedField name="Column7230"/>
      <deletedField name="Column7231"/>
      <deletedField name="Column7232"/>
      <deletedField name="Column7233"/>
      <deletedField name="Column7234"/>
      <deletedField name="Column7235"/>
      <deletedField name="Column7236"/>
      <deletedField name="Column7237"/>
      <deletedField name="Column7238"/>
      <deletedField name="Column7239"/>
      <deletedField name="Column7240"/>
      <deletedField name="Column7241"/>
      <deletedField name="Column7242"/>
      <deletedField name="Column7243"/>
      <deletedField name="Column7244"/>
      <deletedField name="Column7245"/>
      <deletedField name="Column7246"/>
      <deletedField name="Column7247"/>
      <deletedField name="Column7248"/>
      <deletedField name="Column7249"/>
      <deletedField name="Column7250"/>
      <deletedField name="Column7251"/>
      <deletedField name="Column7252"/>
      <deletedField name="Column7253"/>
      <deletedField name="Column7254"/>
      <deletedField name="Column7255"/>
      <deletedField name="Column7256"/>
      <deletedField name="Column7257"/>
      <deletedField name="Column7258"/>
      <deletedField name="Column7259"/>
      <deletedField name="Column7260"/>
      <deletedField name="Column7261"/>
      <deletedField name="Column7262"/>
      <deletedField name="Column7263"/>
      <deletedField name="Column7264"/>
      <deletedField name="Column7265"/>
      <deletedField name="Column7266"/>
      <deletedField name="Column7267"/>
      <deletedField name="Column7268"/>
      <deletedField name="Column7269"/>
      <deletedField name="Column7270"/>
      <deletedField name="Column7271"/>
      <deletedField name="Column7272"/>
      <deletedField name="Column7273"/>
      <deletedField name="Column7274"/>
      <deletedField name="Column7275"/>
      <deletedField name="Column7276"/>
      <deletedField name="Column7277"/>
      <deletedField name="Column7278"/>
      <deletedField name="Column7279"/>
      <deletedField name="Column7280"/>
      <deletedField name="Column7281"/>
      <deletedField name="Column7282"/>
      <deletedField name="Column7283"/>
      <deletedField name="Column7284"/>
      <deletedField name="Column7285"/>
      <deletedField name="Column7286"/>
      <deletedField name="Column7287"/>
      <deletedField name="Column7288"/>
      <deletedField name="Column7289"/>
      <deletedField name="Column7290"/>
      <deletedField name="Column7291"/>
      <deletedField name="Column7292"/>
      <deletedField name="Column7293"/>
      <deletedField name="Column7294"/>
      <deletedField name="Column7295"/>
      <deletedField name="Column7296"/>
      <deletedField name="Column7297"/>
      <deletedField name="Column7298"/>
      <deletedField name="Column7299"/>
      <deletedField name="Column7300"/>
      <deletedField name="Column7301"/>
      <deletedField name="Column7302"/>
      <deletedField name="Column7303"/>
      <deletedField name="Column7304"/>
      <deletedField name="Column7305"/>
      <deletedField name="Column7306"/>
      <deletedField name="Column7307"/>
      <deletedField name="Column7308"/>
      <deletedField name="Column7309"/>
      <deletedField name="Column7310"/>
      <deletedField name="Column7311"/>
      <deletedField name="Column7312"/>
      <deletedField name="Column7313"/>
      <deletedField name="Column7314"/>
      <deletedField name="Column7315"/>
      <deletedField name="Column7316"/>
      <deletedField name="Column7317"/>
      <deletedField name="Column7318"/>
      <deletedField name="Column7319"/>
      <deletedField name="Column7320"/>
      <deletedField name="Column7321"/>
      <deletedField name="Column7322"/>
      <deletedField name="Column7323"/>
      <deletedField name="Column7324"/>
      <deletedField name="Column7325"/>
      <deletedField name="Column7326"/>
      <deletedField name="Column7327"/>
      <deletedField name="Column7328"/>
      <deletedField name="Column7329"/>
      <deletedField name="Column7330"/>
      <deletedField name="Column7331"/>
      <deletedField name="Column7332"/>
      <deletedField name="Column7333"/>
      <deletedField name="Column7334"/>
      <deletedField name="Column7335"/>
      <deletedField name="Column7336"/>
      <deletedField name="Column7337"/>
      <deletedField name="Column7338"/>
      <deletedField name="Column7339"/>
      <deletedField name="Column7340"/>
      <deletedField name="Column7341"/>
      <deletedField name="Column7342"/>
      <deletedField name="Column7343"/>
      <deletedField name="Column7344"/>
      <deletedField name="Column7345"/>
      <deletedField name="Column7346"/>
      <deletedField name="Column7347"/>
      <deletedField name="Column7348"/>
      <deletedField name="Column7349"/>
      <deletedField name="Column7350"/>
      <deletedField name="Column7351"/>
      <deletedField name="Column7352"/>
      <deletedField name="Column7353"/>
      <deletedField name="Column7354"/>
      <deletedField name="Column7355"/>
      <deletedField name="Column7356"/>
      <deletedField name="Column7357"/>
      <deletedField name="Column7358"/>
      <deletedField name="Column7359"/>
      <deletedField name="Column7360"/>
      <deletedField name="Column7361"/>
      <deletedField name="Column7362"/>
      <deletedField name="Column7363"/>
      <deletedField name="Column7364"/>
      <deletedField name="Column7365"/>
      <deletedField name="Column7366"/>
      <deletedField name="Column7367"/>
      <deletedField name="Column7368"/>
      <deletedField name="Column7369"/>
      <deletedField name="Column7370"/>
      <deletedField name="Column7371"/>
      <deletedField name="Column7372"/>
      <deletedField name="Column7373"/>
      <deletedField name="Column7374"/>
      <deletedField name="Column7375"/>
      <deletedField name="Column7376"/>
      <deletedField name="Column7377"/>
      <deletedField name="Column7378"/>
      <deletedField name="Column7379"/>
      <deletedField name="Column7380"/>
      <deletedField name="Column7381"/>
      <deletedField name="Column7382"/>
      <deletedField name="Column7383"/>
      <deletedField name="Column7384"/>
      <deletedField name="Column7385"/>
      <deletedField name="Column7386"/>
      <deletedField name="Column7387"/>
      <deletedField name="Column7388"/>
      <deletedField name="Column7389"/>
      <deletedField name="Column7390"/>
      <deletedField name="Column7391"/>
      <deletedField name="Column7392"/>
      <deletedField name="Column7393"/>
      <deletedField name="Column7394"/>
      <deletedField name="Column7395"/>
      <deletedField name="Column7396"/>
      <deletedField name="Column7397"/>
      <deletedField name="Column7398"/>
      <deletedField name="Column7399"/>
      <deletedField name="Column7400"/>
      <deletedField name="Column7401"/>
      <deletedField name="Column7402"/>
      <deletedField name="Column7403"/>
      <deletedField name="Column7404"/>
      <deletedField name="Column7405"/>
      <deletedField name="Column7406"/>
      <deletedField name="Column7407"/>
      <deletedField name="Column7408"/>
      <deletedField name="Column7409"/>
      <deletedField name="Column7410"/>
      <deletedField name="Column7411"/>
      <deletedField name="Column7412"/>
      <deletedField name="Column7413"/>
      <deletedField name="Column7414"/>
      <deletedField name="Column7415"/>
      <deletedField name="Column7416"/>
      <deletedField name="Column7417"/>
      <deletedField name="Column7418"/>
      <deletedField name="Column7419"/>
      <deletedField name="Column7420"/>
      <deletedField name="Column7421"/>
      <deletedField name="Column7422"/>
      <deletedField name="Column7423"/>
      <deletedField name="Column7424"/>
      <deletedField name="Column7425"/>
      <deletedField name="Column7426"/>
      <deletedField name="Column7427"/>
      <deletedField name="Column7428"/>
      <deletedField name="Column7429"/>
      <deletedField name="Column7430"/>
      <deletedField name="Column7431"/>
      <deletedField name="Column7432"/>
      <deletedField name="Column7433"/>
      <deletedField name="Column7434"/>
      <deletedField name="Column7435"/>
      <deletedField name="Column7436"/>
      <deletedField name="Column7437"/>
      <deletedField name="Column7438"/>
      <deletedField name="Column7439"/>
      <deletedField name="Column7440"/>
      <deletedField name="Column7441"/>
      <deletedField name="Column7442"/>
      <deletedField name="Column7443"/>
      <deletedField name="Column7444"/>
      <deletedField name="Column7445"/>
      <deletedField name="Column7446"/>
      <deletedField name="Column7447"/>
      <deletedField name="Column7448"/>
      <deletedField name="Column7449"/>
      <deletedField name="Column7450"/>
      <deletedField name="Column7451"/>
      <deletedField name="Column7452"/>
      <deletedField name="Column7453"/>
      <deletedField name="Column7454"/>
      <deletedField name="Column7455"/>
      <deletedField name="Column7456"/>
      <deletedField name="Column7457"/>
      <deletedField name="Column7458"/>
      <deletedField name="Column7459"/>
      <deletedField name="Column7460"/>
      <deletedField name="Column7461"/>
      <deletedField name="Column7462"/>
      <deletedField name="Column7463"/>
      <deletedField name="Column7464"/>
      <deletedField name="Column7465"/>
      <deletedField name="Column7466"/>
      <deletedField name="Column7467"/>
      <deletedField name="Column7468"/>
      <deletedField name="Column7469"/>
      <deletedField name="Column7470"/>
      <deletedField name="Column7471"/>
      <deletedField name="Column7472"/>
      <deletedField name="Column7473"/>
      <deletedField name="Column7474"/>
      <deletedField name="Column7475"/>
      <deletedField name="Column7476"/>
      <deletedField name="Column7477"/>
      <deletedField name="Column7478"/>
      <deletedField name="Column7479"/>
      <deletedField name="Column7480"/>
      <deletedField name="Column7481"/>
      <deletedField name="Column7482"/>
      <deletedField name="Column7483"/>
      <deletedField name="Column7484"/>
      <deletedField name="Column7485"/>
      <deletedField name="Column7486"/>
      <deletedField name="Column7487"/>
      <deletedField name="Column7488"/>
      <deletedField name="Column7489"/>
      <deletedField name="Column7490"/>
      <deletedField name="Column7491"/>
      <deletedField name="Column7492"/>
      <deletedField name="Column7493"/>
      <deletedField name="Column7494"/>
      <deletedField name="Column7495"/>
      <deletedField name="Column7496"/>
      <deletedField name="Column7497"/>
      <deletedField name="Column7498"/>
      <deletedField name="Column7499"/>
      <deletedField name="Column7500"/>
      <deletedField name="Column7501"/>
      <deletedField name="Column7502"/>
      <deletedField name="Column7503"/>
      <deletedField name="Column7504"/>
      <deletedField name="Column7505"/>
      <deletedField name="Column7506"/>
      <deletedField name="Column7507"/>
      <deletedField name="Column7508"/>
      <deletedField name="Column7509"/>
      <deletedField name="Column7510"/>
      <deletedField name="Column7511"/>
      <deletedField name="Column7512"/>
      <deletedField name="Column7513"/>
      <deletedField name="Column7514"/>
      <deletedField name="Column7515"/>
      <deletedField name="Column7516"/>
      <deletedField name="Column7517"/>
      <deletedField name="Column7518"/>
      <deletedField name="Column7519"/>
      <deletedField name="Column7520"/>
      <deletedField name="Column7521"/>
      <deletedField name="Column7522"/>
      <deletedField name="Column7523"/>
      <deletedField name="Column7524"/>
      <deletedField name="Column7525"/>
      <deletedField name="Column7526"/>
      <deletedField name="Column7527"/>
      <deletedField name="Column7528"/>
      <deletedField name="Column7529"/>
      <deletedField name="Column7530"/>
      <deletedField name="Column7531"/>
      <deletedField name="Column7532"/>
      <deletedField name="Column7533"/>
      <deletedField name="Column7534"/>
      <deletedField name="Column7535"/>
      <deletedField name="Column7536"/>
      <deletedField name="Column7537"/>
      <deletedField name="Column7538"/>
      <deletedField name="Column7539"/>
      <deletedField name="Column7540"/>
      <deletedField name="Column7541"/>
      <deletedField name="Column7542"/>
      <deletedField name="Column7543"/>
      <deletedField name="Column7544"/>
      <deletedField name="Column7545"/>
      <deletedField name="Column7546"/>
      <deletedField name="Column7547"/>
      <deletedField name="Column7548"/>
      <deletedField name="Column7549"/>
      <deletedField name="Column7550"/>
      <deletedField name="Column7551"/>
      <deletedField name="Column7552"/>
      <deletedField name="Column7553"/>
      <deletedField name="Column7554"/>
      <deletedField name="Column7555"/>
      <deletedField name="Column7556"/>
      <deletedField name="Column7557"/>
      <deletedField name="Column7558"/>
      <deletedField name="Column7559"/>
      <deletedField name="Column7560"/>
      <deletedField name="Column7561"/>
      <deletedField name="Column7562"/>
      <deletedField name="Column7563"/>
      <deletedField name="Column7564"/>
      <deletedField name="Column7565"/>
      <deletedField name="Column7566"/>
      <deletedField name="Column7567"/>
      <deletedField name="Column7568"/>
      <deletedField name="Column7569"/>
      <deletedField name="Column7570"/>
      <deletedField name="Column7571"/>
      <deletedField name="Column7572"/>
      <deletedField name="Column7573"/>
      <deletedField name="Column7574"/>
      <deletedField name="Column7575"/>
      <deletedField name="Column7576"/>
      <deletedField name="Column7577"/>
      <deletedField name="Column7578"/>
      <deletedField name="Column7579"/>
      <deletedField name="Column7580"/>
      <deletedField name="Column7581"/>
      <deletedField name="Column7582"/>
      <deletedField name="Column7583"/>
      <deletedField name="Column7584"/>
      <deletedField name="Column7585"/>
      <deletedField name="Column7586"/>
      <deletedField name="Column7587"/>
      <deletedField name="Column7588"/>
      <deletedField name="Column7589"/>
      <deletedField name="Column7590"/>
      <deletedField name="Column7591"/>
      <deletedField name="Column7592"/>
      <deletedField name="Column7593"/>
      <deletedField name="Column7594"/>
      <deletedField name="Column7595"/>
      <deletedField name="Column7596"/>
      <deletedField name="Column7597"/>
      <deletedField name="Column7598"/>
      <deletedField name="Column7599"/>
      <deletedField name="Column7600"/>
      <deletedField name="Column7601"/>
      <deletedField name="Column7602"/>
      <deletedField name="Column7603"/>
      <deletedField name="Column7604"/>
      <deletedField name="Column7605"/>
      <deletedField name="Column7606"/>
      <deletedField name="Column7607"/>
      <deletedField name="Column7608"/>
      <deletedField name="Column7609"/>
      <deletedField name="Column7610"/>
      <deletedField name="Column7611"/>
      <deletedField name="Column7612"/>
      <deletedField name="Column7613"/>
      <deletedField name="Column7614"/>
      <deletedField name="Column7615"/>
      <deletedField name="Column7616"/>
      <deletedField name="Column7617"/>
      <deletedField name="Column7618"/>
      <deletedField name="Column7619"/>
      <deletedField name="Column7620"/>
      <deletedField name="Column7621"/>
      <deletedField name="Column7622"/>
      <deletedField name="Column7623"/>
      <deletedField name="Column7624"/>
      <deletedField name="Column7625"/>
      <deletedField name="Column7626"/>
      <deletedField name="Column7627"/>
      <deletedField name="Column7628"/>
      <deletedField name="Column7629"/>
      <deletedField name="Column7630"/>
      <deletedField name="Column7631"/>
      <deletedField name="Column7632"/>
      <deletedField name="Column7633"/>
      <deletedField name="Column7634"/>
      <deletedField name="Column7635"/>
      <deletedField name="Column7636"/>
      <deletedField name="Column7637"/>
      <deletedField name="Column7638"/>
      <deletedField name="Column7639"/>
      <deletedField name="Column7640"/>
      <deletedField name="Column7641"/>
      <deletedField name="Column7642"/>
      <deletedField name="Column7643"/>
      <deletedField name="Column7644"/>
      <deletedField name="Column7645"/>
      <deletedField name="Column7646"/>
      <deletedField name="Column7647"/>
      <deletedField name="Column7648"/>
      <deletedField name="Column7649"/>
      <deletedField name="Column7650"/>
      <deletedField name="Column7651"/>
      <deletedField name="Column7652"/>
      <deletedField name="Column7653"/>
      <deletedField name="Column7654"/>
      <deletedField name="Column7655"/>
      <deletedField name="Column7656"/>
      <deletedField name="Column7657"/>
      <deletedField name="Column7658"/>
      <deletedField name="Column7659"/>
      <deletedField name="Column7660"/>
      <deletedField name="Column7661"/>
      <deletedField name="Column7662"/>
      <deletedField name="Column7663"/>
      <deletedField name="Column7664"/>
      <deletedField name="Column7665"/>
      <deletedField name="Column7666"/>
      <deletedField name="Column7667"/>
      <deletedField name="Column7668"/>
      <deletedField name="Column7669"/>
      <deletedField name="Column7670"/>
      <deletedField name="Column7671"/>
      <deletedField name="Column7672"/>
      <deletedField name="Column7673"/>
      <deletedField name="Column7674"/>
      <deletedField name="Column7675"/>
      <deletedField name="Column7676"/>
      <deletedField name="Column7677"/>
      <deletedField name="Column7678"/>
      <deletedField name="Column7679"/>
      <deletedField name="Column7680"/>
      <deletedField name="Column7681"/>
      <deletedField name="Column7682"/>
      <deletedField name="Column7683"/>
      <deletedField name="Column7684"/>
      <deletedField name="Column7685"/>
      <deletedField name="Column7686"/>
      <deletedField name="Column7687"/>
      <deletedField name="Column7688"/>
      <deletedField name="Column7689"/>
      <deletedField name="Column7690"/>
      <deletedField name="Column7691"/>
      <deletedField name="Column7692"/>
      <deletedField name="Column7693"/>
      <deletedField name="Column7694"/>
      <deletedField name="Column7695"/>
      <deletedField name="Column7696"/>
      <deletedField name="Column7697"/>
      <deletedField name="Column7698"/>
      <deletedField name="Column7699"/>
      <deletedField name="Column7700"/>
      <deletedField name="Column7701"/>
      <deletedField name="Column7702"/>
      <deletedField name="Column7703"/>
      <deletedField name="Column7704"/>
      <deletedField name="Column7705"/>
      <deletedField name="Column7706"/>
      <deletedField name="Column7707"/>
      <deletedField name="Column7708"/>
      <deletedField name="Column7709"/>
      <deletedField name="Column7710"/>
      <deletedField name="Column7711"/>
      <deletedField name="Column7712"/>
      <deletedField name="Column7713"/>
      <deletedField name="Column7714"/>
      <deletedField name="Column7715"/>
      <deletedField name="Column7716"/>
      <deletedField name="Column7717"/>
      <deletedField name="Column7718"/>
      <deletedField name="Column7719"/>
      <deletedField name="Column7720"/>
      <deletedField name="Column7721"/>
      <deletedField name="Column7722"/>
      <deletedField name="Column7723"/>
      <deletedField name="Column7724"/>
      <deletedField name="Column7725"/>
      <deletedField name="Column7726"/>
      <deletedField name="Column7727"/>
      <deletedField name="Column7728"/>
      <deletedField name="Column7729"/>
      <deletedField name="Column7730"/>
      <deletedField name="Column7731"/>
      <deletedField name="Column7732"/>
      <deletedField name="Column7733"/>
      <deletedField name="Column7734"/>
      <deletedField name="Column7735"/>
      <deletedField name="Column7736"/>
      <deletedField name="Column7737"/>
      <deletedField name="Column7738"/>
      <deletedField name="Column7739"/>
      <deletedField name="Column7740"/>
      <deletedField name="Column7741"/>
      <deletedField name="Column7742"/>
      <deletedField name="Column7743"/>
      <deletedField name="Column7744"/>
      <deletedField name="Column7745"/>
      <deletedField name="Column7746"/>
      <deletedField name="Column7747"/>
      <deletedField name="Column7748"/>
      <deletedField name="Column7749"/>
      <deletedField name="Column7750"/>
      <deletedField name="Column7751"/>
      <deletedField name="Column7752"/>
      <deletedField name="Column7753"/>
      <deletedField name="Column7754"/>
      <deletedField name="Column7755"/>
      <deletedField name="Column7756"/>
      <deletedField name="Column7757"/>
      <deletedField name="Column7758"/>
      <deletedField name="Column7759"/>
      <deletedField name="Column7760"/>
      <deletedField name="Column7761"/>
      <deletedField name="Column7762"/>
      <deletedField name="Column7763"/>
      <deletedField name="Column7764"/>
      <deletedField name="Column7765"/>
      <deletedField name="Column7766"/>
      <deletedField name="Column7767"/>
      <deletedField name="Column7768"/>
      <deletedField name="Column7769"/>
      <deletedField name="Column7770"/>
      <deletedField name="Column7771"/>
      <deletedField name="Column7772"/>
      <deletedField name="Column7773"/>
      <deletedField name="Column7774"/>
      <deletedField name="Column7775"/>
      <deletedField name="Column7776"/>
      <deletedField name="Column7777"/>
      <deletedField name="Column7778"/>
      <deletedField name="Column7779"/>
      <deletedField name="Column7780"/>
      <deletedField name="Column7781"/>
      <deletedField name="Column7782"/>
      <deletedField name="Column7783"/>
      <deletedField name="Column7784"/>
      <deletedField name="Column7785"/>
      <deletedField name="Column7786"/>
      <deletedField name="Column7787"/>
      <deletedField name="Column7788"/>
      <deletedField name="Column7789"/>
      <deletedField name="Column7790"/>
      <deletedField name="Column7791"/>
      <deletedField name="Column7792"/>
      <deletedField name="Column7793"/>
      <deletedField name="Column7794"/>
      <deletedField name="Column7795"/>
      <deletedField name="Column7796"/>
      <deletedField name="Column7797"/>
      <deletedField name="Column7798"/>
      <deletedField name="Column7799"/>
      <deletedField name="Column7800"/>
      <deletedField name="Column7801"/>
      <deletedField name="Column7802"/>
      <deletedField name="Column7803"/>
      <deletedField name="Column7804"/>
      <deletedField name="Column7805"/>
      <deletedField name="Column7806"/>
      <deletedField name="Column7807"/>
      <deletedField name="Column7808"/>
      <deletedField name="Column7809"/>
      <deletedField name="Column7810"/>
      <deletedField name="Column7811"/>
      <deletedField name="Column7812"/>
      <deletedField name="Column7813"/>
      <deletedField name="Column7814"/>
      <deletedField name="Column7815"/>
      <deletedField name="Column7816"/>
      <deletedField name="Column7817"/>
      <deletedField name="Column7818"/>
      <deletedField name="Column7819"/>
      <deletedField name="Column7820"/>
      <deletedField name="Column7821"/>
      <deletedField name="Column7822"/>
      <deletedField name="Column7823"/>
      <deletedField name="Column7824"/>
      <deletedField name="Column7825"/>
      <deletedField name="Column7826"/>
      <deletedField name="Column7827"/>
      <deletedField name="Column7828"/>
      <deletedField name="Column7829"/>
      <deletedField name="Column7830"/>
      <deletedField name="Column7831"/>
      <deletedField name="Column7832"/>
      <deletedField name="Column7833"/>
      <deletedField name="Column7834"/>
      <deletedField name="Column7835"/>
      <deletedField name="Column7836"/>
      <deletedField name="Column7837"/>
      <deletedField name="Column7838"/>
      <deletedField name="Column7839"/>
      <deletedField name="Column7840"/>
      <deletedField name="Column7841"/>
      <deletedField name="Column7842"/>
      <deletedField name="Column7843"/>
      <deletedField name="Column7844"/>
      <deletedField name="Column7845"/>
      <deletedField name="Column7846"/>
      <deletedField name="Column7847"/>
      <deletedField name="Column7848"/>
      <deletedField name="Column7849"/>
      <deletedField name="Column7850"/>
      <deletedField name="Column7851"/>
      <deletedField name="Column7852"/>
      <deletedField name="Column7853"/>
      <deletedField name="Column7854"/>
      <deletedField name="Column7855"/>
      <deletedField name="Column7856"/>
      <deletedField name="Column7857"/>
      <deletedField name="Column7858"/>
      <deletedField name="Column7859"/>
      <deletedField name="Column7860"/>
      <deletedField name="Column7861"/>
      <deletedField name="Column7862"/>
      <deletedField name="Column7863"/>
      <deletedField name="Column7864"/>
      <deletedField name="Column7865"/>
      <deletedField name="Column7866"/>
      <deletedField name="Column7867"/>
      <deletedField name="Column7868"/>
      <deletedField name="Column7869"/>
      <deletedField name="Column7870"/>
      <deletedField name="Column7871"/>
      <deletedField name="Column7872"/>
      <deletedField name="Column7873"/>
      <deletedField name="Column7874"/>
      <deletedField name="Column7875"/>
      <deletedField name="Column7876"/>
      <deletedField name="Column7877"/>
      <deletedField name="Column7878"/>
      <deletedField name="Column7879"/>
      <deletedField name="Column7880"/>
      <deletedField name="Column7881"/>
      <deletedField name="Column7882"/>
      <deletedField name="Column7883"/>
      <deletedField name="Column7884"/>
      <deletedField name="Column7885"/>
      <deletedField name="Column7886"/>
      <deletedField name="Column7887"/>
      <deletedField name="Column7888"/>
      <deletedField name="Column7889"/>
      <deletedField name="Column7890"/>
      <deletedField name="Column7891"/>
      <deletedField name="Column7892"/>
      <deletedField name="Column7893"/>
      <deletedField name="Column7894"/>
      <deletedField name="Column7895"/>
      <deletedField name="Column7896"/>
      <deletedField name="Column7897"/>
      <deletedField name="Column7898"/>
      <deletedField name="Column7899"/>
      <deletedField name="Column7900"/>
      <deletedField name="Column7901"/>
      <deletedField name="Column7902"/>
      <deletedField name="Column7903"/>
      <deletedField name="Column7904"/>
      <deletedField name="Column7905"/>
      <deletedField name="Column7906"/>
      <deletedField name="Column7907"/>
      <deletedField name="Column7908"/>
      <deletedField name="Column7909"/>
      <deletedField name="Column7910"/>
      <deletedField name="Column7911"/>
      <deletedField name="Column7912"/>
      <deletedField name="Column7913"/>
      <deletedField name="Column7914"/>
      <deletedField name="Column7915"/>
      <deletedField name="Column7916"/>
      <deletedField name="Column7917"/>
      <deletedField name="Column7918"/>
      <deletedField name="Column7919"/>
      <deletedField name="Column7920"/>
      <deletedField name="Column7921"/>
      <deletedField name="Column7922"/>
      <deletedField name="Column7923"/>
      <deletedField name="Column7924"/>
      <deletedField name="Column7925"/>
      <deletedField name="Column7926"/>
      <deletedField name="Column7927"/>
      <deletedField name="Column7928"/>
      <deletedField name="Column7929"/>
      <deletedField name="Column7930"/>
      <deletedField name="Column7931"/>
      <deletedField name="Column7932"/>
      <deletedField name="Column7933"/>
      <deletedField name="Column7934"/>
      <deletedField name="Column7935"/>
      <deletedField name="Column7936"/>
      <deletedField name="Column7937"/>
      <deletedField name="Column7938"/>
      <deletedField name="Column7939"/>
      <deletedField name="Column7940"/>
      <deletedField name="Column7941"/>
      <deletedField name="Column7942"/>
      <deletedField name="Column7943"/>
      <deletedField name="Column7944"/>
      <deletedField name="Column7945"/>
      <deletedField name="Column7946"/>
      <deletedField name="Column7947"/>
      <deletedField name="Column7948"/>
      <deletedField name="Column7949"/>
      <deletedField name="Column7950"/>
      <deletedField name="Column7951"/>
      <deletedField name="Column7952"/>
      <deletedField name="Column7953"/>
      <deletedField name="Column7954"/>
      <deletedField name="Column7955"/>
      <deletedField name="Column7956"/>
      <deletedField name="Column7957"/>
      <deletedField name="Column7958"/>
      <deletedField name="Column7959"/>
      <deletedField name="Column7960"/>
      <deletedField name="Column7961"/>
      <deletedField name="Column7962"/>
      <deletedField name="Column7963"/>
      <deletedField name="Column7964"/>
      <deletedField name="Column7965"/>
      <deletedField name="Column7966"/>
      <deletedField name="Column7967"/>
      <deletedField name="Column7968"/>
      <deletedField name="Column7969"/>
      <deletedField name="Column7970"/>
      <deletedField name="Column7971"/>
      <deletedField name="Column7972"/>
      <deletedField name="Column7973"/>
      <deletedField name="Column7974"/>
      <deletedField name="Column7975"/>
      <deletedField name="Column7976"/>
      <deletedField name="Column7977"/>
      <deletedField name="Column7978"/>
      <deletedField name="Column7979"/>
      <deletedField name="Column7980"/>
      <deletedField name="Column7981"/>
      <deletedField name="Column7982"/>
      <deletedField name="Column7983"/>
      <deletedField name="Column7984"/>
      <deletedField name="Column7985"/>
      <deletedField name="Column7986"/>
      <deletedField name="Column7987"/>
      <deletedField name="Column7988"/>
      <deletedField name="Column7989"/>
      <deletedField name="Column7990"/>
      <deletedField name="Column7991"/>
      <deletedField name="Column7992"/>
      <deletedField name="Column7993"/>
      <deletedField name="Column7994"/>
      <deletedField name="Column7995"/>
      <deletedField name="Column7996"/>
      <deletedField name="Column7997"/>
      <deletedField name="Column7998"/>
      <deletedField name="Column7999"/>
      <deletedField name="Column8000"/>
      <deletedField name="Column8001"/>
      <deletedField name="Column8002"/>
      <deletedField name="Column8003"/>
      <deletedField name="Column8004"/>
      <deletedField name="Column8005"/>
      <deletedField name="Column8006"/>
      <deletedField name="Column8007"/>
      <deletedField name="Column8008"/>
      <deletedField name="Column8009"/>
      <deletedField name="Column8010"/>
      <deletedField name="Column8011"/>
      <deletedField name="Column8012"/>
      <deletedField name="Column8013"/>
      <deletedField name="Column8014"/>
      <deletedField name="Column8015"/>
      <deletedField name="Column8016"/>
      <deletedField name="Column8017"/>
      <deletedField name="Column8018"/>
      <deletedField name="Column8019"/>
      <deletedField name="Column8020"/>
      <deletedField name="Column8021"/>
      <deletedField name="Column8022"/>
      <deletedField name="Column8023"/>
      <deletedField name="Column8024"/>
      <deletedField name="Column8025"/>
      <deletedField name="Column8026"/>
      <deletedField name="Column8027"/>
      <deletedField name="Column8028"/>
      <deletedField name="Column8029"/>
      <deletedField name="Column8030"/>
      <deletedField name="Column8031"/>
      <deletedField name="Column8032"/>
      <deletedField name="Column8033"/>
      <deletedField name="Column8034"/>
      <deletedField name="Column8035"/>
      <deletedField name="Column8036"/>
      <deletedField name="Column8037"/>
      <deletedField name="Column8038"/>
      <deletedField name="Column8039"/>
      <deletedField name="Column8040"/>
      <deletedField name="Column8041"/>
      <deletedField name="Column8042"/>
      <deletedField name="Column8043"/>
      <deletedField name="Column8044"/>
      <deletedField name="Column8045"/>
      <deletedField name="Column8046"/>
      <deletedField name="Column8047"/>
      <deletedField name="Column8048"/>
      <deletedField name="Column8049"/>
      <deletedField name="Column8050"/>
      <deletedField name="Column8051"/>
      <deletedField name="Column8052"/>
      <deletedField name="Column8053"/>
      <deletedField name="Column8054"/>
      <deletedField name="Column8055"/>
      <deletedField name="Column8056"/>
      <deletedField name="Column8057"/>
      <deletedField name="Column8058"/>
      <deletedField name="Column8059"/>
      <deletedField name="Column8060"/>
      <deletedField name="Column8061"/>
      <deletedField name="Column8062"/>
      <deletedField name="Column8063"/>
      <deletedField name="Column8064"/>
      <deletedField name="Column8065"/>
      <deletedField name="Column8066"/>
      <deletedField name="Column8067"/>
      <deletedField name="Column8068"/>
      <deletedField name="Column8069"/>
      <deletedField name="Column8070"/>
      <deletedField name="Column8071"/>
      <deletedField name="Column8072"/>
      <deletedField name="Column8073"/>
      <deletedField name="Column8074"/>
      <deletedField name="Column8075"/>
      <deletedField name="Column8076"/>
      <deletedField name="Column8077"/>
      <deletedField name="Column8078"/>
      <deletedField name="Column8079"/>
      <deletedField name="Column8080"/>
      <deletedField name="Column8081"/>
      <deletedField name="Column8082"/>
      <deletedField name="Column8083"/>
      <deletedField name="Column8084"/>
      <deletedField name="Column8085"/>
      <deletedField name="Column8086"/>
      <deletedField name="Column8087"/>
      <deletedField name="Column8088"/>
      <deletedField name="Column8089"/>
      <deletedField name="Column8090"/>
      <deletedField name="Column8091"/>
      <deletedField name="Column8092"/>
      <deletedField name="Column8093"/>
      <deletedField name="Column8094"/>
      <deletedField name="Column8095"/>
      <deletedField name="Column8096"/>
      <deletedField name="Column8097"/>
      <deletedField name="Column8098"/>
      <deletedField name="Column8099"/>
      <deletedField name="Column8100"/>
      <deletedField name="Column8101"/>
      <deletedField name="Column8102"/>
      <deletedField name="Column8103"/>
      <deletedField name="Column8104"/>
      <deletedField name="Column8105"/>
      <deletedField name="Column8106"/>
      <deletedField name="Column8107"/>
      <deletedField name="Column8108"/>
      <deletedField name="Column8109"/>
      <deletedField name="Column8110"/>
      <deletedField name="Column8111"/>
      <deletedField name="Column8112"/>
      <deletedField name="Column8113"/>
      <deletedField name="Column8114"/>
      <deletedField name="Column8115"/>
      <deletedField name="Column8116"/>
      <deletedField name="Column8117"/>
      <deletedField name="Column8118"/>
      <deletedField name="Column8119"/>
      <deletedField name="Column8120"/>
      <deletedField name="Column8121"/>
      <deletedField name="Column8122"/>
      <deletedField name="Column8123"/>
      <deletedField name="Column8124"/>
      <deletedField name="Column8125"/>
      <deletedField name="Column8126"/>
      <deletedField name="Column8127"/>
      <deletedField name="Column8128"/>
      <deletedField name="Column8129"/>
      <deletedField name="Column8130"/>
      <deletedField name="Column8131"/>
      <deletedField name="Column8132"/>
      <deletedField name="Column8133"/>
      <deletedField name="Column8134"/>
      <deletedField name="Column8135"/>
      <deletedField name="Column8136"/>
      <deletedField name="Column8137"/>
      <deletedField name="Column8138"/>
      <deletedField name="Column8139"/>
      <deletedField name="Column8140"/>
      <deletedField name="Column8141"/>
      <deletedField name="Column8142"/>
      <deletedField name="Column8143"/>
      <deletedField name="Column8144"/>
      <deletedField name="Column8145"/>
      <deletedField name="Column8146"/>
      <deletedField name="Column8147"/>
      <deletedField name="Column8148"/>
      <deletedField name="Column8149"/>
      <deletedField name="Column8150"/>
      <deletedField name="Column8151"/>
      <deletedField name="Column8152"/>
      <deletedField name="Column8153"/>
      <deletedField name="Column8154"/>
      <deletedField name="Column8155"/>
      <deletedField name="Column8156"/>
      <deletedField name="Column8157"/>
      <deletedField name="Column8158"/>
      <deletedField name="Column8159"/>
      <deletedField name="Column8160"/>
      <deletedField name="Column8161"/>
      <deletedField name="Column8162"/>
      <deletedField name="Column8163"/>
      <deletedField name="Column8164"/>
      <deletedField name="Column8165"/>
      <deletedField name="Column8166"/>
      <deletedField name="Column8167"/>
      <deletedField name="Column8168"/>
      <deletedField name="Column8169"/>
      <deletedField name="Column8170"/>
      <deletedField name="Column8171"/>
      <deletedField name="Column8172"/>
      <deletedField name="Column8173"/>
      <deletedField name="Column8174"/>
      <deletedField name="Column8175"/>
      <deletedField name="Column8176"/>
      <deletedField name="Column8177"/>
      <deletedField name="Column8178"/>
      <deletedField name="Column8179"/>
      <deletedField name="Column8180"/>
      <deletedField name="Column8181"/>
      <deletedField name="Column8182"/>
      <deletedField name="Column8183"/>
      <deletedField name="Column8184"/>
      <deletedField name="Column8185"/>
      <deletedField name="Column8186"/>
      <deletedField name="Column8187"/>
      <deletedField name="Column8188"/>
      <deletedField name="Column8189"/>
      <deletedField name="Column8190"/>
      <deletedField name="Column8191"/>
      <deletedField name="Column8192"/>
      <deletedField name="Column8193"/>
      <deletedField name="Column8194"/>
      <deletedField name="Column8195"/>
      <deletedField name="Column8196"/>
      <deletedField name="Column8197"/>
      <deletedField name="Column8198"/>
      <deletedField name="Column8199"/>
      <deletedField name="Column8200"/>
      <deletedField name="Column8201"/>
      <deletedField name="Column8202"/>
      <deletedField name="Column8203"/>
      <deletedField name="Column8204"/>
      <deletedField name="Column8205"/>
      <deletedField name="Column8206"/>
      <deletedField name="Column8207"/>
      <deletedField name="Column8208"/>
      <deletedField name="Column8209"/>
      <deletedField name="Column8210"/>
      <deletedField name="Column8211"/>
      <deletedField name="Column8212"/>
      <deletedField name="Column8213"/>
      <deletedField name="Column8214"/>
      <deletedField name="Column8215"/>
      <deletedField name="Column8216"/>
      <deletedField name="Column8217"/>
      <deletedField name="Column8218"/>
      <deletedField name="Column8219"/>
      <deletedField name="Column8220"/>
      <deletedField name="Column8221"/>
      <deletedField name="Column8222"/>
      <deletedField name="Column8223"/>
      <deletedField name="Column8224"/>
      <deletedField name="Column8225"/>
      <deletedField name="Column8226"/>
      <deletedField name="Column8227"/>
      <deletedField name="Column8228"/>
      <deletedField name="Column8229"/>
      <deletedField name="Column8230"/>
      <deletedField name="Column8231"/>
      <deletedField name="Column8232"/>
      <deletedField name="Column8233"/>
      <deletedField name="Column8234"/>
      <deletedField name="Column8235"/>
      <deletedField name="Column8236"/>
      <deletedField name="Column8237"/>
      <deletedField name="Column8238"/>
      <deletedField name="Column8239"/>
      <deletedField name="Column8240"/>
      <deletedField name="Column8241"/>
      <deletedField name="Column8242"/>
      <deletedField name="Column8243"/>
      <deletedField name="Column8244"/>
      <deletedField name="Column8245"/>
      <deletedField name="Column8246"/>
      <deletedField name="Column8247"/>
      <deletedField name="Column8248"/>
      <deletedField name="Column8249"/>
      <deletedField name="Column8250"/>
      <deletedField name="Column8251"/>
      <deletedField name="Column8252"/>
      <deletedField name="Column8253"/>
      <deletedField name="Column8254"/>
      <deletedField name="Column8255"/>
      <deletedField name="Column8256"/>
      <deletedField name="Column8257"/>
      <deletedField name="Column8258"/>
      <deletedField name="Column8259"/>
      <deletedField name="Column8260"/>
      <deletedField name="Column8261"/>
      <deletedField name="Column8262"/>
      <deletedField name="Column8263"/>
      <deletedField name="Column8264"/>
      <deletedField name="Column8265"/>
      <deletedField name="Column8266"/>
      <deletedField name="Column8267"/>
      <deletedField name="Column8268"/>
      <deletedField name="Column8269"/>
      <deletedField name="Column8270"/>
      <deletedField name="Column8271"/>
      <deletedField name="Column8272"/>
      <deletedField name="Column8273"/>
      <deletedField name="Column8274"/>
      <deletedField name="Column8275"/>
      <deletedField name="Column8276"/>
      <deletedField name="Column8277"/>
      <deletedField name="Column8278"/>
      <deletedField name="Column8279"/>
      <deletedField name="Column8280"/>
      <deletedField name="Column8281"/>
      <deletedField name="Column8282"/>
      <deletedField name="Column8283"/>
      <deletedField name="Column8284"/>
      <deletedField name="Column8285"/>
      <deletedField name="Column8286"/>
      <deletedField name="Column8287"/>
      <deletedField name="Column8288"/>
      <deletedField name="Column8289"/>
      <deletedField name="Column8290"/>
      <deletedField name="Column8291"/>
      <deletedField name="Column8292"/>
      <deletedField name="Column8293"/>
      <deletedField name="Column8294"/>
      <deletedField name="Column8295"/>
      <deletedField name="Column8296"/>
      <deletedField name="Column8297"/>
      <deletedField name="Column8298"/>
      <deletedField name="Column8299"/>
      <deletedField name="Column8300"/>
      <deletedField name="Column8301"/>
      <deletedField name="Column8302"/>
      <deletedField name="Column8303"/>
      <deletedField name="Column8304"/>
      <deletedField name="Column8305"/>
      <deletedField name="Column8306"/>
      <deletedField name="Column8307"/>
      <deletedField name="Column8308"/>
      <deletedField name="Column8309"/>
      <deletedField name="Column8310"/>
      <deletedField name="Column8311"/>
      <deletedField name="Column8312"/>
      <deletedField name="Column8313"/>
      <deletedField name="Column8314"/>
      <deletedField name="Column8315"/>
      <deletedField name="Column8316"/>
      <deletedField name="Column8317"/>
      <deletedField name="Column8318"/>
      <deletedField name="Column8319"/>
      <deletedField name="Column8320"/>
      <deletedField name="Column8321"/>
      <deletedField name="Column8322"/>
      <deletedField name="Column8323"/>
      <deletedField name="Column8324"/>
      <deletedField name="Column8325"/>
      <deletedField name="Column8326"/>
      <deletedField name="Column8327"/>
      <deletedField name="Column8328"/>
      <deletedField name="Column8329"/>
      <deletedField name="Column8330"/>
      <deletedField name="Column8331"/>
      <deletedField name="Column8332"/>
      <deletedField name="Column8333"/>
      <deletedField name="Column8334"/>
      <deletedField name="Column8335"/>
      <deletedField name="Column8336"/>
      <deletedField name="Column8337"/>
      <deletedField name="Column8338"/>
      <deletedField name="Column8339"/>
      <deletedField name="Column8340"/>
      <deletedField name="Column8341"/>
      <deletedField name="Column8342"/>
      <deletedField name="Column8343"/>
      <deletedField name="Column8344"/>
      <deletedField name="Column8345"/>
      <deletedField name="Column8346"/>
      <deletedField name="Column8347"/>
      <deletedField name="Column8348"/>
      <deletedField name="Column8349"/>
      <deletedField name="Column8350"/>
      <deletedField name="Column8351"/>
      <deletedField name="Column8352"/>
      <deletedField name="Column8353"/>
      <deletedField name="Column8354"/>
      <deletedField name="Column8355"/>
      <deletedField name="Column8356"/>
      <deletedField name="Column8357"/>
      <deletedField name="Column8358"/>
      <deletedField name="Column8359"/>
      <deletedField name="Column8360"/>
      <deletedField name="Column8361"/>
      <deletedField name="Column8362"/>
      <deletedField name="Column8363"/>
      <deletedField name="Column8364"/>
      <deletedField name="Column8365"/>
      <deletedField name="Column8366"/>
      <deletedField name="Column8367"/>
      <deletedField name="Column8368"/>
      <deletedField name="Column8369"/>
      <deletedField name="Column8370"/>
      <deletedField name="Column8371"/>
      <deletedField name="Column8372"/>
      <deletedField name="Column8373"/>
      <deletedField name="Column8374"/>
      <deletedField name="Column8375"/>
      <deletedField name="Column8376"/>
      <deletedField name="Column8377"/>
      <deletedField name="Column8378"/>
      <deletedField name="Column8379"/>
      <deletedField name="Column8380"/>
      <deletedField name="Column8381"/>
      <deletedField name="Column8382"/>
      <deletedField name="Column8383"/>
      <deletedField name="Column8384"/>
      <deletedField name="Column8385"/>
      <deletedField name="Column8386"/>
      <deletedField name="Column8387"/>
      <deletedField name="Column8388"/>
      <deletedField name="Column8389"/>
      <deletedField name="Column8390"/>
      <deletedField name="Column8391"/>
      <deletedField name="Column8392"/>
      <deletedField name="Column8393"/>
      <deletedField name="Column8394"/>
      <deletedField name="Column8395"/>
      <deletedField name="Column8396"/>
      <deletedField name="Column8397"/>
      <deletedField name="Column8398"/>
      <deletedField name="Column8399"/>
      <deletedField name="Column8400"/>
      <deletedField name="Column8401"/>
      <deletedField name="Column8402"/>
      <deletedField name="Column8403"/>
      <deletedField name="Column8404"/>
      <deletedField name="Column8405"/>
      <deletedField name="Column8406"/>
      <deletedField name="Column8407"/>
      <deletedField name="Column8408"/>
      <deletedField name="Column8409"/>
      <deletedField name="Column8410"/>
      <deletedField name="Column8411"/>
      <deletedField name="Column8412"/>
      <deletedField name="Column8413"/>
      <deletedField name="Column8414"/>
      <deletedField name="Column8415"/>
      <deletedField name="Column8416"/>
      <deletedField name="Column8417"/>
      <deletedField name="Column8418"/>
      <deletedField name="Column8419"/>
      <deletedField name="Column8420"/>
      <deletedField name="Column8421"/>
      <deletedField name="Column8422"/>
      <deletedField name="Column8423"/>
      <deletedField name="Column8424"/>
      <deletedField name="Column8425"/>
      <deletedField name="Column8426"/>
      <deletedField name="Column8427"/>
      <deletedField name="Column8428"/>
      <deletedField name="Column8429"/>
      <deletedField name="Column8430"/>
      <deletedField name="Column8431"/>
      <deletedField name="Column8432"/>
      <deletedField name="Column8433"/>
      <deletedField name="Column8434"/>
      <deletedField name="Column8435"/>
      <deletedField name="Column8436"/>
      <deletedField name="Column8437"/>
      <deletedField name="Column8438"/>
      <deletedField name="Column8439"/>
      <deletedField name="Column8440"/>
      <deletedField name="Column8441"/>
      <deletedField name="Column8442"/>
      <deletedField name="Column8443"/>
      <deletedField name="Column8444"/>
      <deletedField name="Column8445"/>
      <deletedField name="Column8446"/>
      <deletedField name="Column8447"/>
      <deletedField name="Column8448"/>
      <deletedField name="Column8449"/>
      <deletedField name="Column8450"/>
      <deletedField name="Column8451"/>
      <deletedField name="Column8452"/>
      <deletedField name="Column8453"/>
      <deletedField name="Column8454"/>
      <deletedField name="Column8455"/>
      <deletedField name="Column8456"/>
      <deletedField name="Column8457"/>
      <deletedField name="Column8458"/>
      <deletedField name="Column8459"/>
      <deletedField name="Column8460"/>
      <deletedField name="Column8461"/>
      <deletedField name="Column8462"/>
      <deletedField name="Column8463"/>
      <deletedField name="Column8464"/>
      <deletedField name="Column8465"/>
      <deletedField name="Column8466"/>
      <deletedField name="Column8467"/>
      <deletedField name="Column8468"/>
      <deletedField name="Column8469"/>
      <deletedField name="Column8470"/>
      <deletedField name="Column8471"/>
      <deletedField name="Column8472"/>
      <deletedField name="Column8473"/>
      <deletedField name="Column8474"/>
      <deletedField name="Column8475"/>
      <deletedField name="Column8476"/>
      <deletedField name="Column8477"/>
      <deletedField name="Column8478"/>
      <deletedField name="Column8479"/>
      <deletedField name="Column8480"/>
      <deletedField name="Column8481"/>
      <deletedField name="Column8482"/>
      <deletedField name="Column8483"/>
      <deletedField name="Column8484"/>
      <deletedField name="Column8485"/>
      <deletedField name="Column8486"/>
      <deletedField name="Column8487"/>
      <deletedField name="Column8488"/>
      <deletedField name="Column8489"/>
      <deletedField name="Column8490"/>
      <deletedField name="Column8491"/>
      <deletedField name="Column8492"/>
      <deletedField name="Column8493"/>
      <deletedField name="Column8494"/>
      <deletedField name="Column8495"/>
      <deletedField name="Column8496"/>
      <deletedField name="Column8497"/>
      <deletedField name="Column8498"/>
      <deletedField name="Column8499"/>
      <deletedField name="Column8500"/>
      <deletedField name="Column8501"/>
      <deletedField name="Column8502"/>
      <deletedField name="Column8503"/>
      <deletedField name="Column8504"/>
      <deletedField name="Column8505"/>
      <deletedField name="Column8506"/>
      <deletedField name="Column8507"/>
      <deletedField name="Column8508"/>
      <deletedField name="Column8509"/>
      <deletedField name="Column8510"/>
      <deletedField name="Column8511"/>
      <deletedField name="Column8512"/>
      <deletedField name="Column8513"/>
      <deletedField name="Column8514"/>
      <deletedField name="Column8515"/>
      <deletedField name="Column8516"/>
      <deletedField name="Column8517"/>
      <deletedField name="Column8518"/>
      <deletedField name="Column8519"/>
      <deletedField name="Column8520"/>
      <deletedField name="Column8521"/>
      <deletedField name="Column8522"/>
      <deletedField name="Column8523"/>
      <deletedField name="Column8524"/>
      <deletedField name="Column8525"/>
      <deletedField name="Column8526"/>
      <deletedField name="Column8527"/>
      <deletedField name="Column8528"/>
      <deletedField name="Column8529"/>
      <deletedField name="Column8530"/>
      <deletedField name="Column8531"/>
      <deletedField name="Column8532"/>
      <deletedField name="Column8533"/>
      <deletedField name="Column8534"/>
      <deletedField name="Column8535"/>
      <deletedField name="Column8536"/>
      <deletedField name="Column8537"/>
      <deletedField name="Column8538"/>
      <deletedField name="Column8539"/>
      <deletedField name="Column8540"/>
      <deletedField name="Column8541"/>
      <deletedField name="Column8542"/>
      <deletedField name="Column8543"/>
      <deletedField name="Column8544"/>
      <deletedField name="Column8545"/>
      <deletedField name="Column8546"/>
      <deletedField name="Column8547"/>
      <deletedField name="Column8548"/>
      <deletedField name="Column8549"/>
      <deletedField name="Column8550"/>
      <deletedField name="Column8551"/>
      <deletedField name="Column8552"/>
      <deletedField name="Column8553"/>
      <deletedField name="Column8554"/>
      <deletedField name="Column8555"/>
      <deletedField name="Column8556"/>
      <deletedField name="Column8557"/>
      <deletedField name="Column8558"/>
      <deletedField name="Column8559"/>
      <deletedField name="Column8560"/>
      <deletedField name="Column8561"/>
      <deletedField name="Column8562"/>
      <deletedField name="Column8563"/>
      <deletedField name="Column8564"/>
      <deletedField name="Column8565"/>
      <deletedField name="Column8566"/>
      <deletedField name="Column8567"/>
      <deletedField name="Column8568"/>
      <deletedField name="Column8569"/>
      <deletedField name="Column8570"/>
      <deletedField name="Column8571"/>
      <deletedField name="Column8572"/>
      <deletedField name="Column8573"/>
      <deletedField name="Column8574"/>
      <deletedField name="Column8575"/>
      <deletedField name="Column8576"/>
      <deletedField name="Column8577"/>
      <deletedField name="Column8578"/>
      <deletedField name="Column8579"/>
      <deletedField name="Column8580"/>
      <deletedField name="Column8581"/>
      <deletedField name="Column8582"/>
      <deletedField name="Column8583"/>
      <deletedField name="Column8584"/>
      <deletedField name="Column8585"/>
      <deletedField name="Column8586"/>
      <deletedField name="Column8587"/>
      <deletedField name="Column8588"/>
      <deletedField name="Column8589"/>
      <deletedField name="Column8590"/>
      <deletedField name="Column8591"/>
      <deletedField name="Column8592"/>
      <deletedField name="Column8593"/>
      <deletedField name="Column8594"/>
      <deletedField name="Column8595"/>
      <deletedField name="Column8596"/>
      <deletedField name="Column8597"/>
      <deletedField name="Column8598"/>
      <deletedField name="Column8599"/>
      <deletedField name="Column8600"/>
      <deletedField name="Column8601"/>
      <deletedField name="Column8602"/>
      <deletedField name="Column8603"/>
      <deletedField name="Column8604"/>
      <deletedField name="Column8605"/>
      <deletedField name="Column8606"/>
      <deletedField name="Column8607"/>
      <deletedField name="Column8608"/>
      <deletedField name="Column8609"/>
      <deletedField name="Column8610"/>
      <deletedField name="Column8611"/>
      <deletedField name="Column8612"/>
      <deletedField name="Column8613"/>
      <deletedField name="Column8614"/>
      <deletedField name="Column8615"/>
      <deletedField name="Column8616"/>
      <deletedField name="Column8617"/>
      <deletedField name="Column8618"/>
      <deletedField name="Column8619"/>
      <deletedField name="Column8620"/>
      <deletedField name="Column8621"/>
      <deletedField name="Column8622"/>
      <deletedField name="Column8623"/>
      <deletedField name="Column8624"/>
      <deletedField name="Column8625"/>
      <deletedField name="Column8626"/>
      <deletedField name="Column8627"/>
      <deletedField name="Column8628"/>
      <deletedField name="Column8629"/>
      <deletedField name="Column8630"/>
      <deletedField name="Column8631"/>
      <deletedField name="Column8632"/>
      <deletedField name="Column8633"/>
      <deletedField name="Column8634"/>
      <deletedField name="Column8635"/>
      <deletedField name="Column8636"/>
      <deletedField name="Column8637"/>
      <deletedField name="Column8638"/>
      <deletedField name="Column8639"/>
      <deletedField name="Column8640"/>
      <deletedField name="Column8641"/>
      <deletedField name="Column8642"/>
      <deletedField name="Column8643"/>
      <deletedField name="Column8644"/>
      <deletedField name="Column8645"/>
      <deletedField name="Column8646"/>
      <deletedField name="Column8647"/>
      <deletedField name="Column8648"/>
      <deletedField name="Column8649"/>
      <deletedField name="Column8650"/>
      <deletedField name="Column8651"/>
      <deletedField name="Column8652"/>
      <deletedField name="Column8653"/>
      <deletedField name="Column8654"/>
      <deletedField name="Column8655"/>
      <deletedField name="Column8656"/>
      <deletedField name="Column8657"/>
      <deletedField name="Column8658"/>
      <deletedField name="Column8659"/>
      <deletedField name="Column8660"/>
      <deletedField name="Column8661"/>
      <deletedField name="Column8662"/>
      <deletedField name="Column8663"/>
      <deletedField name="Column8664"/>
      <deletedField name="Column8665"/>
      <deletedField name="Column8666"/>
      <deletedField name="Column8667"/>
      <deletedField name="Column8668"/>
      <deletedField name="Column8669"/>
      <deletedField name="Column8670"/>
      <deletedField name="Column8671"/>
      <deletedField name="Column8672"/>
      <deletedField name="Column8673"/>
      <deletedField name="Column8674"/>
      <deletedField name="Column8675"/>
      <deletedField name="Column8676"/>
      <deletedField name="Column8677"/>
      <deletedField name="Column8678"/>
      <deletedField name="Column8679"/>
      <deletedField name="Column8680"/>
      <deletedField name="Column8681"/>
      <deletedField name="Column8682"/>
      <deletedField name="Column8683"/>
      <deletedField name="Column8684"/>
      <deletedField name="Column8685"/>
      <deletedField name="Column8686"/>
      <deletedField name="Column8687"/>
      <deletedField name="Column8688"/>
      <deletedField name="Column8689"/>
      <deletedField name="Column8690"/>
      <deletedField name="Column8691"/>
      <deletedField name="Column8692"/>
      <deletedField name="Column8693"/>
      <deletedField name="Column8694"/>
      <deletedField name="Column8695"/>
      <deletedField name="Column8696"/>
      <deletedField name="Column8697"/>
      <deletedField name="Column8698"/>
      <deletedField name="Column8699"/>
      <deletedField name="Column8700"/>
      <deletedField name="Column8701"/>
      <deletedField name="Column8702"/>
      <deletedField name="Column8703"/>
      <deletedField name="Column8704"/>
      <deletedField name="Column8705"/>
      <deletedField name="Column8706"/>
      <deletedField name="Column8707"/>
      <deletedField name="Column8708"/>
      <deletedField name="Column8709"/>
      <deletedField name="Column8710"/>
      <deletedField name="Column8711"/>
      <deletedField name="Column8712"/>
      <deletedField name="Column8713"/>
      <deletedField name="Column8714"/>
      <deletedField name="Column8715"/>
      <deletedField name="Column8716"/>
      <deletedField name="Column8717"/>
      <deletedField name="Column8718"/>
      <deletedField name="Column8719"/>
      <deletedField name="Column8720"/>
      <deletedField name="Column8721"/>
      <deletedField name="Column8722"/>
      <deletedField name="Column8723"/>
      <deletedField name="Column8724"/>
      <deletedField name="Column8725"/>
      <deletedField name="Column8726"/>
      <deletedField name="Column8727"/>
      <deletedField name="Column8728"/>
      <deletedField name="Column8729"/>
      <deletedField name="Column8730"/>
      <deletedField name="Column8731"/>
      <deletedField name="Column8732"/>
      <deletedField name="Column8733"/>
      <deletedField name="Column8734"/>
      <deletedField name="Column8735"/>
      <deletedField name="Column8736"/>
      <deletedField name="Column8737"/>
      <deletedField name="Column8738"/>
      <deletedField name="Column8739"/>
      <deletedField name="Column8740"/>
      <deletedField name="Column8741"/>
      <deletedField name="Column8742"/>
      <deletedField name="Column8743"/>
      <deletedField name="Column8744"/>
      <deletedField name="Column8745"/>
      <deletedField name="Column8746"/>
      <deletedField name="Column8747"/>
      <deletedField name="Column8748"/>
      <deletedField name="Column8749"/>
      <deletedField name="Column8750"/>
      <deletedField name="Column8751"/>
      <deletedField name="Column8752"/>
      <deletedField name="Column8753"/>
      <deletedField name="Column8754"/>
      <deletedField name="Column8755"/>
      <deletedField name="Column8756"/>
      <deletedField name="Column8757"/>
      <deletedField name="Column8758"/>
      <deletedField name="Column8759"/>
      <deletedField name="Column8760"/>
      <deletedField name="Column8761"/>
      <deletedField name="Column8762"/>
      <deletedField name="Column8763"/>
      <deletedField name="Column8764"/>
      <deletedField name="Column8765"/>
      <deletedField name="Column8766"/>
      <deletedField name="Column8767"/>
      <deletedField name="Column8768"/>
      <deletedField name="Column8769"/>
      <deletedField name="Column8770"/>
      <deletedField name="Column8771"/>
      <deletedField name="Column8772"/>
      <deletedField name="Column8773"/>
      <deletedField name="Column8774"/>
      <deletedField name="Column8775"/>
      <deletedField name="Column8776"/>
      <deletedField name="Column8777"/>
      <deletedField name="Column8778"/>
      <deletedField name="Column8779"/>
      <deletedField name="Column8780"/>
      <deletedField name="Column8781"/>
      <deletedField name="Column8782"/>
      <deletedField name="Column8783"/>
      <deletedField name="Column8784"/>
      <deletedField name="Column8785"/>
      <deletedField name="Column8786"/>
      <deletedField name="Column8787"/>
      <deletedField name="Column8788"/>
      <deletedField name="Column8789"/>
      <deletedField name="Column8790"/>
      <deletedField name="Column8791"/>
      <deletedField name="Column8792"/>
      <deletedField name="Column8793"/>
      <deletedField name="Column8794"/>
      <deletedField name="Column8795"/>
      <deletedField name="Column8796"/>
      <deletedField name="Column8797"/>
      <deletedField name="Column8798"/>
      <deletedField name="Column8799"/>
      <deletedField name="Column8800"/>
      <deletedField name="Column8801"/>
      <deletedField name="Column8802"/>
      <deletedField name="Column8803"/>
      <deletedField name="Column8804"/>
      <deletedField name="Column8805"/>
      <deletedField name="Column8806"/>
      <deletedField name="Column8807"/>
      <deletedField name="Column8808"/>
      <deletedField name="Column8809"/>
      <deletedField name="Column8810"/>
      <deletedField name="Column8811"/>
      <deletedField name="Column8812"/>
      <deletedField name="Column8813"/>
      <deletedField name="Column8814"/>
      <deletedField name="Column8815"/>
      <deletedField name="Column8816"/>
      <deletedField name="Column8817"/>
      <deletedField name="Column8818"/>
      <deletedField name="Column8819"/>
      <deletedField name="Column8820"/>
      <deletedField name="Column8821"/>
      <deletedField name="Column8822"/>
      <deletedField name="Column8823"/>
      <deletedField name="Column8824"/>
      <deletedField name="Column8825"/>
      <deletedField name="Column8826"/>
      <deletedField name="Column8827"/>
      <deletedField name="Column8828"/>
      <deletedField name="Column8829"/>
      <deletedField name="Column8830"/>
      <deletedField name="Column8831"/>
      <deletedField name="Column8832"/>
      <deletedField name="Column8833"/>
      <deletedField name="Column8834"/>
      <deletedField name="Column8835"/>
      <deletedField name="Column8836"/>
      <deletedField name="Column8837"/>
      <deletedField name="Column8838"/>
      <deletedField name="Column8839"/>
      <deletedField name="Column8840"/>
      <deletedField name="Column8841"/>
      <deletedField name="Column8842"/>
      <deletedField name="Column8843"/>
      <deletedField name="Column8844"/>
      <deletedField name="Column8845"/>
      <deletedField name="Column8846"/>
      <deletedField name="Column8847"/>
      <deletedField name="Column8848"/>
      <deletedField name="Column8849"/>
      <deletedField name="Column8850"/>
      <deletedField name="Column8851"/>
      <deletedField name="Column8852"/>
      <deletedField name="Column8853"/>
      <deletedField name="Column8854"/>
      <deletedField name="Column8855"/>
      <deletedField name="Column8856"/>
      <deletedField name="Column8857"/>
      <deletedField name="Column8858"/>
      <deletedField name="Column8859"/>
      <deletedField name="Column8860"/>
      <deletedField name="Column8861"/>
      <deletedField name="Column8862"/>
      <deletedField name="Column8863"/>
      <deletedField name="Column8864"/>
      <deletedField name="Column8865"/>
      <deletedField name="Column8866"/>
      <deletedField name="Column8867"/>
      <deletedField name="Column8868"/>
      <deletedField name="Column8869"/>
      <deletedField name="Column8870"/>
      <deletedField name="Column8871"/>
      <deletedField name="Column8872"/>
      <deletedField name="Column8873"/>
      <deletedField name="Column8874"/>
      <deletedField name="Column8875"/>
      <deletedField name="Column8876"/>
      <deletedField name="Column8877"/>
      <deletedField name="Column8878"/>
      <deletedField name="Column8879"/>
      <deletedField name="Column8880"/>
      <deletedField name="Column8881"/>
      <deletedField name="Column8882"/>
      <deletedField name="Column8883"/>
      <deletedField name="Column8884"/>
      <deletedField name="Column8885"/>
      <deletedField name="Column8886"/>
      <deletedField name="Column8887"/>
      <deletedField name="Column8888"/>
      <deletedField name="Column8889"/>
      <deletedField name="Column8890"/>
      <deletedField name="Column8891"/>
      <deletedField name="Column8892"/>
      <deletedField name="Column8893"/>
      <deletedField name="Column8894"/>
      <deletedField name="Column8895"/>
      <deletedField name="Column8896"/>
      <deletedField name="Column8897"/>
      <deletedField name="Column8898"/>
      <deletedField name="Column8899"/>
      <deletedField name="Column8900"/>
      <deletedField name="Column8901"/>
      <deletedField name="Column8902"/>
      <deletedField name="Column8903"/>
      <deletedField name="Column8904"/>
      <deletedField name="Column8905"/>
      <deletedField name="Column8906"/>
      <deletedField name="Column8907"/>
      <deletedField name="Column8908"/>
      <deletedField name="Column8909"/>
      <deletedField name="Column8910"/>
      <deletedField name="Column8911"/>
      <deletedField name="Column8912"/>
      <deletedField name="Column8913"/>
      <deletedField name="Column8914"/>
      <deletedField name="Column8915"/>
      <deletedField name="Column8916"/>
      <deletedField name="Column8917"/>
      <deletedField name="Column8918"/>
      <deletedField name="Column8919"/>
      <deletedField name="Column8920"/>
      <deletedField name="Column8921"/>
      <deletedField name="Column8922"/>
      <deletedField name="Column8923"/>
      <deletedField name="Column8924"/>
      <deletedField name="Column8925"/>
      <deletedField name="Column8926"/>
      <deletedField name="Column8927"/>
      <deletedField name="Column8928"/>
      <deletedField name="Column8929"/>
      <deletedField name="Column8930"/>
      <deletedField name="Column8931"/>
      <deletedField name="Column8932"/>
      <deletedField name="Column8933"/>
      <deletedField name="Column8934"/>
      <deletedField name="Column8935"/>
      <deletedField name="Column8936"/>
      <deletedField name="Column8937"/>
      <deletedField name="Column8938"/>
      <deletedField name="Column8939"/>
      <deletedField name="Column8940"/>
      <deletedField name="Column8941"/>
      <deletedField name="Column8942"/>
      <deletedField name="Column8943"/>
      <deletedField name="Column8944"/>
      <deletedField name="Column8945"/>
      <deletedField name="Column8946"/>
      <deletedField name="Column8947"/>
      <deletedField name="Column8948"/>
      <deletedField name="Column8949"/>
      <deletedField name="Column8950"/>
      <deletedField name="Column8951"/>
      <deletedField name="Column8952"/>
      <deletedField name="Column8953"/>
      <deletedField name="Column8954"/>
      <deletedField name="Column8955"/>
      <deletedField name="Column8956"/>
      <deletedField name="Column8957"/>
      <deletedField name="Column8958"/>
      <deletedField name="Column8959"/>
      <deletedField name="Column8960"/>
      <deletedField name="Column8961"/>
      <deletedField name="Column8962"/>
      <deletedField name="Column8963"/>
      <deletedField name="Column8964"/>
      <deletedField name="Column8965"/>
      <deletedField name="Column8966"/>
      <deletedField name="Column8967"/>
      <deletedField name="Column8968"/>
      <deletedField name="Column8969"/>
      <deletedField name="Column8970"/>
      <deletedField name="Column8971"/>
      <deletedField name="Column8972"/>
      <deletedField name="Column8973"/>
      <deletedField name="Column8974"/>
      <deletedField name="Column8975"/>
      <deletedField name="Column8976"/>
      <deletedField name="Column8977"/>
      <deletedField name="Column8978"/>
      <deletedField name="Column8979"/>
      <deletedField name="Column8980"/>
      <deletedField name="Column8981"/>
      <deletedField name="Column8982"/>
      <deletedField name="Column8983"/>
      <deletedField name="Column8984"/>
      <deletedField name="Column8985"/>
      <deletedField name="Column8986"/>
      <deletedField name="Column8987"/>
      <deletedField name="Column8988"/>
      <deletedField name="Column8989"/>
      <deletedField name="Column8990"/>
      <deletedField name="Column8991"/>
      <deletedField name="Column8992"/>
      <deletedField name="Column8993"/>
      <deletedField name="Column8994"/>
      <deletedField name="Column8995"/>
      <deletedField name="Column8996"/>
      <deletedField name="Column8997"/>
      <deletedField name="Column8998"/>
      <deletedField name="Column8999"/>
      <deletedField name="Column9000"/>
      <deletedField name="Column9001"/>
      <deletedField name="Column9002"/>
      <deletedField name="Column9003"/>
      <deletedField name="Column9004"/>
      <deletedField name="Column9005"/>
      <deletedField name="Column9006"/>
      <deletedField name="Column9007"/>
      <deletedField name="Column9008"/>
      <deletedField name="Column9009"/>
      <deletedField name="Column9010"/>
      <deletedField name="Column9011"/>
      <deletedField name="Column9012"/>
      <deletedField name="Column9013"/>
      <deletedField name="Column9014"/>
      <deletedField name="Column9015"/>
      <deletedField name="Column9016"/>
      <deletedField name="Column9017"/>
      <deletedField name="Column9018"/>
      <deletedField name="Column9019"/>
      <deletedField name="Column9020"/>
      <deletedField name="Column9021"/>
      <deletedField name="Column9022"/>
      <deletedField name="Column9023"/>
      <deletedField name="Column9024"/>
      <deletedField name="Column9025"/>
      <deletedField name="Column9026"/>
      <deletedField name="Column9027"/>
      <deletedField name="Column9028"/>
      <deletedField name="Column9029"/>
      <deletedField name="Column9030"/>
      <deletedField name="Column9031"/>
      <deletedField name="Column9032"/>
      <deletedField name="Column9033"/>
      <deletedField name="Column9034"/>
      <deletedField name="Column9035"/>
      <deletedField name="Column9036"/>
      <deletedField name="Column9037"/>
      <deletedField name="Column9038"/>
      <deletedField name="Column9039"/>
      <deletedField name="Column9040"/>
      <deletedField name="Column9041"/>
      <deletedField name="Column9042"/>
      <deletedField name="Column9043"/>
      <deletedField name="Column9044"/>
      <deletedField name="Column9045"/>
      <deletedField name="Column9046"/>
      <deletedField name="Column9047"/>
      <deletedField name="Column9048"/>
      <deletedField name="Column9049"/>
      <deletedField name="Column9050"/>
      <deletedField name="Column9051"/>
      <deletedField name="Column9052"/>
      <deletedField name="Column9053"/>
      <deletedField name="Column9054"/>
      <deletedField name="Column9055"/>
      <deletedField name="Column9056"/>
      <deletedField name="Column9057"/>
      <deletedField name="Column9058"/>
      <deletedField name="Column9059"/>
      <deletedField name="Column9060"/>
      <deletedField name="Column9061"/>
      <deletedField name="Column9062"/>
      <deletedField name="Column9063"/>
      <deletedField name="Column9064"/>
      <deletedField name="Column9065"/>
      <deletedField name="Column9066"/>
      <deletedField name="Column9067"/>
      <deletedField name="Column9068"/>
      <deletedField name="Column9069"/>
      <deletedField name="Column9070"/>
      <deletedField name="Column9071"/>
      <deletedField name="Column9072"/>
      <deletedField name="Column9073"/>
      <deletedField name="Column9074"/>
      <deletedField name="Column9075"/>
      <deletedField name="Column9076"/>
      <deletedField name="Column9077"/>
      <deletedField name="Column9078"/>
      <deletedField name="Column9079"/>
      <deletedField name="Column9080"/>
      <deletedField name="Column9081"/>
      <deletedField name="Column9082"/>
      <deletedField name="Column9083"/>
      <deletedField name="Column9084"/>
      <deletedField name="Column9085"/>
      <deletedField name="Column9086"/>
      <deletedField name="Column9087"/>
      <deletedField name="Column9088"/>
      <deletedField name="Column9089"/>
      <deletedField name="Column9090"/>
      <deletedField name="Column9091"/>
      <deletedField name="Column9092"/>
      <deletedField name="Column9093"/>
      <deletedField name="Column9094"/>
      <deletedField name="Column9095"/>
      <deletedField name="Column9096"/>
      <deletedField name="Column9097"/>
      <deletedField name="Column9098"/>
      <deletedField name="Column9099"/>
      <deletedField name="Column9100"/>
      <deletedField name="Column9101"/>
      <deletedField name="Column9102"/>
      <deletedField name="Column9103"/>
      <deletedField name="Column9104"/>
      <deletedField name="Column9105"/>
      <deletedField name="Column9106"/>
      <deletedField name="Column9107"/>
      <deletedField name="Column9108"/>
      <deletedField name="Column9109"/>
      <deletedField name="Column9110"/>
      <deletedField name="Column9111"/>
      <deletedField name="Column9112"/>
      <deletedField name="Column9113"/>
      <deletedField name="Column9114"/>
      <deletedField name="Column9115"/>
      <deletedField name="Column9116"/>
      <deletedField name="Column9117"/>
      <deletedField name="Column9118"/>
      <deletedField name="Column9119"/>
      <deletedField name="Column9120"/>
      <deletedField name="Column9121"/>
      <deletedField name="Column9122"/>
      <deletedField name="Column9123"/>
      <deletedField name="Column9124"/>
      <deletedField name="Column9125"/>
      <deletedField name="Column9126"/>
      <deletedField name="Column9127"/>
      <deletedField name="Column9128"/>
      <deletedField name="Column9129"/>
      <deletedField name="Column9130"/>
      <deletedField name="Column9131"/>
      <deletedField name="Column9132"/>
      <deletedField name="Column9133"/>
      <deletedField name="Column9134"/>
      <deletedField name="Column9135"/>
      <deletedField name="Column9136"/>
      <deletedField name="Column9137"/>
      <deletedField name="Column9138"/>
      <deletedField name="Column9139"/>
      <deletedField name="Column9140"/>
      <deletedField name="Column9141"/>
      <deletedField name="Column9142"/>
      <deletedField name="Column9143"/>
      <deletedField name="Column9144"/>
      <deletedField name="Column9145"/>
      <deletedField name="Column9146"/>
      <deletedField name="Column9147"/>
      <deletedField name="Column9148"/>
      <deletedField name="Column9149"/>
      <deletedField name="Column9150"/>
      <deletedField name="Column9151"/>
      <deletedField name="Column9152"/>
      <deletedField name="Column9153"/>
      <deletedField name="Column9154"/>
      <deletedField name="Column9155"/>
      <deletedField name="Column9156"/>
      <deletedField name="Column9157"/>
      <deletedField name="Column9158"/>
      <deletedField name="Column9159"/>
      <deletedField name="Column9160"/>
      <deletedField name="Column9161"/>
      <deletedField name="Column9162"/>
      <deletedField name="Column9163"/>
      <deletedField name="Column9164"/>
      <deletedField name="Column9165"/>
      <deletedField name="Column9166"/>
      <deletedField name="Column9167"/>
      <deletedField name="Column9168"/>
      <deletedField name="Column9169"/>
      <deletedField name="Column9170"/>
      <deletedField name="Column9171"/>
      <deletedField name="Column9172"/>
      <deletedField name="Column9173"/>
      <deletedField name="Column9174"/>
      <deletedField name="Column9175"/>
      <deletedField name="Column9176"/>
      <deletedField name="Column9177"/>
      <deletedField name="Column9178"/>
      <deletedField name="Column9179"/>
      <deletedField name="Column9180"/>
      <deletedField name="Column9181"/>
      <deletedField name="Column9182"/>
      <deletedField name="Column9183"/>
      <deletedField name="Column9184"/>
      <deletedField name="Column9185"/>
      <deletedField name="Column9186"/>
      <deletedField name="Column9187"/>
      <deletedField name="Column9188"/>
      <deletedField name="Column9189"/>
      <deletedField name="Column9190"/>
      <deletedField name="Column9191"/>
      <deletedField name="Column9192"/>
      <deletedField name="Column9193"/>
      <deletedField name="Column9194"/>
      <deletedField name="Column9195"/>
      <deletedField name="Column9196"/>
      <deletedField name="Column9197"/>
      <deletedField name="Column9198"/>
      <deletedField name="Column9199"/>
      <deletedField name="Column9200"/>
      <deletedField name="Column9201"/>
      <deletedField name="Column9202"/>
      <deletedField name="Column9203"/>
      <deletedField name="Column9204"/>
      <deletedField name="Column9205"/>
      <deletedField name="Column9206"/>
      <deletedField name="Column9207"/>
      <deletedField name="Column9208"/>
      <deletedField name="Column9209"/>
      <deletedField name="Column9210"/>
      <deletedField name="Column9211"/>
      <deletedField name="Column9212"/>
      <deletedField name="Column9213"/>
      <deletedField name="Column9214"/>
      <deletedField name="Column9215"/>
      <deletedField name="Column9216"/>
      <deletedField name="Column9217"/>
      <deletedField name="Column9218"/>
      <deletedField name="Column9219"/>
      <deletedField name="Column9220"/>
      <deletedField name="Column9221"/>
      <deletedField name="Column9222"/>
      <deletedField name="Column9223"/>
      <deletedField name="Column9224"/>
      <deletedField name="Column9225"/>
      <deletedField name="Column9226"/>
      <deletedField name="Column9227"/>
      <deletedField name="Column9228"/>
      <deletedField name="Column9229"/>
      <deletedField name="Column9230"/>
      <deletedField name="Column9231"/>
      <deletedField name="Column9232"/>
      <deletedField name="Column9233"/>
      <deletedField name="Column9234"/>
      <deletedField name="Column9235"/>
      <deletedField name="Column9236"/>
      <deletedField name="Column9237"/>
      <deletedField name="Column9238"/>
      <deletedField name="Column9239"/>
      <deletedField name="Column9240"/>
      <deletedField name="Column9241"/>
      <deletedField name="Column9242"/>
      <deletedField name="Column9243"/>
      <deletedField name="Column9244"/>
      <deletedField name="Column9245"/>
      <deletedField name="Column9246"/>
      <deletedField name="Column9247"/>
      <deletedField name="Column9248"/>
      <deletedField name="Column9249"/>
      <deletedField name="Column9250"/>
      <deletedField name="Column9251"/>
      <deletedField name="Column9252"/>
      <deletedField name="Column9253"/>
      <deletedField name="Column9254"/>
      <deletedField name="Column9255"/>
      <deletedField name="Column9256"/>
      <deletedField name="Column9257"/>
      <deletedField name="Column9258"/>
      <deletedField name="Column9259"/>
      <deletedField name="Column9260"/>
      <deletedField name="Column9261"/>
      <deletedField name="Column9262"/>
      <deletedField name="Column9263"/>
      <deletedField name="Column9264"/>
      <deletedField name="Column9265"/>
      <deletedField name="Column9266"/>
      <deletedField name="Column9267"/>
      <deletedField name="Column9268"/>
      <deletedField name="Column9269"/>
      <deletedField name="Column9270"/>
      <deletedField name="Column9271"/>
      <deletedField name="Column9272"/>
      <deletedField name="Column9273"/>
      <deletedField name="Column9274"/>
      <deletedField name="Column9275"/>
      <deletedField name="Column9276"/>
      <deletedField name="Column9277"/>
      <deletedField name="Column9278"/>
      <deletedField name="Column9279"/>
      <deletedField name="Column9280"/>
      <deletedField name="Column9281"/>
      <deletedField name="Column9282"/>
      <deletedField name="Column9283"/>
      <deletedField name="Column9284"/>
      <deletedField name="Column9285"/>
      <deletedField name="Column9286"/>
      <deletedField name="Column9287"/>
      <deletedField name="Column9288"/>
      <deletedField name="Column9289"/>
      <deletedField name="Column9290"/>
      <deletedField name="Column9291"/>
      <deletedField name="Column9292"/>
      <deletedField name="Column9293"/>
      <deletedField name="Column9294"/>
      <deletedField name="Column9295"/>
      <deletedField name="Column9296"/>
      <deletedField name="Column9297"/>
      <deletedField name="Column9298"/>
      <deletedField name="Column9299"/>
      <deletedField name="Column9300"/>
      <deletedField name="Column9301"/>
      <deletedField name="Column9302"/>
      <deletedField name="Column9303"/>
      <deletedField name="Column9304"/>
      <deletedField name="Column9305"/>
      <deletedField name="Column9306"/>
      <deletedField name="Column9307"/>
      <deletedField name="Column9308"/>
      <deletedField name="Column9309"/>
      <deletedField name="Column9310"/>
      <deletedField name="Column9311"/>
      <deletedField name="Column9312"/>
      <deletedField name="Column9313"/>
      <deletedField name="Column9314"/>
      <deletedField name="Column9315"/>
      <deletedField name="Column9316"/>
      <deletedField name="Column9317"/>
      <deletedField name="Column9318"/>
      <deletedField name="Column9319"/>
      <deletedField name="Column9320"/>
      <deletedField name="Column9321"/>
      <deletedField name="Column9322"/>
      <deletedField name="Column9323"/>
      <deletedField name="Column9324"/>
      <deletedField name="Column9325"/>
      <deletedField name="Column9326"/>
      <deletedField name="Column9327"/>
      <deletedField name="Column9328"/>
      <deletedField name="Column9329"/>
      <deletedField name="Column9330"/>
      <deletedField name="Column9331"/>
      <deletedField name="Column9332"/>
      <deletedField name="Column9333"/>
      <deletedField name="Column9334"/>
      <deletedField name="Column9335"/>
      <deletedField name="Column9336"/>
      <deletedField name="Column9337"/>
      <deletedField name="Column9338"/>
      <deletedField name="Column9339"/>
      <deletedField name="Column9340"/>
      <deletedField name="Column9341"/>
      <deletedField name="Column9342"/>
      <deletedField name="Column9343"/>
      <deletedField name="Column9344"/>
      <deletedField name="Column9345"/>
      <deletedField name="Column9346"/>
      <deletedField name="Column9347"/>
      <deletedField name="Column9348"/>
      <deletedField name="Column9349"/>
      <deletedField name="Column9350"/>
      <deletedField name="Column9351"/>
      <deletedField name="Column9352"/>
      <deletedField name="Column9353"/>
      <deletedField name="Column9354"/>
      <deletedField name="Column9355"/>
      <deletedField name="Column9356"/>
      <deletedField name="Column9357"/>
      <deletedField name="Column9358"/>
      <deletedField name="Column9359"/>
      <deletedField name="Column9360"/>
      <deletedField name="Column9361"/>
      <deletedField name="Column9362"/>
      <deletedField name="Column9363"/>
      <deletedField name="Column9364"/>
      <deletedField name="Column9365"/>
      <deletedField name="Column9366"/>
      <deletedField name="Column9367"/>
      <deletedField name="Column9368"/>
      <deletedField name="Column9369"/>
      <deletedField name="Column9370"/>
      <deletedField name="Column9371"/>
      <deletedField name="Column9372"/>
      <deletedField name="Column9373"/>
      <deletedField name="Column9374"/>
      <deletedField name="Column9375"/>
      <deletedField name="Column9376"/>
      <deletedField name="Column9377"/>
      <deletedField name="Column9378"/>
      <deletedField name="Column9379"/>
      <deletedField name="Column9380"/>
      <deletedField name="Column9381"/>
      <deletedField name="Column9382"/>
      <deletedField name="Column9383"/>
      <deletedField name="Column9384"/>
      <deletedField name="Column9385"/>
      <deletedField name="Column9386"/>
      <deletedField name="Column9387"/>
      <deletedField name="Column9388"/>
      <deletedField name="Column9389"/>
      <deletedField name="Column9390"/>
      <deletedField name="Column9391"/>
      <deletedField name="Column9392"/>
      <deletedField name="Column9393"/>
      <deletedField name="Column9394"/>
      <deletedField name="Column9395"/>
      <deletedField name="Column9396"/>
      <deletedField name="Column9397"/>
      <deletedField name="Column9398"/>
      <deletedField name="Column9399"/>
      <deletedField name="Column9400"/>
      <deletedField name="Column9401"/>
      <deletedField name="Column9402"/>
      <deletedField name="Column9403"/>
      <deletedField name="Column9404"/>
      <deletedField name="Column9405"/>
      <deletedField name="Column9406"/>
      <deletedField name="Column9407"/>
      <deletedField name="Column9408"/>
      <deletedField name="Column9409"/>
      <deletedField name="Column9410"/>
      <deletedField name="Column9411"/>
      <deletedField name="Column9412"/>
      <deletedField name="Column9413"/>
      <deletedField name="Column9414"/>
      <deletedField name="Column9415"/>
      <deletedField name="Column9416"/>
      <deletedField name="Column9417"/>
      <deletedField name="Column9418"/>
      <deletedField name="Column9419"/>
      <deletedField name="Column9420"/>
      <deletedField name="Column9421"/>
      <deletedField name="Column9422"/>
      <deletedField name="Column9423"/>
      <deletedField name="Column9424"/>
      <deletedField name="Column9425"/>
      <deletedField name="Column9426"/>
      <deletedField name="Column9427"/>
      <deletedField name="Column9428"/>
      <deletedField name="Column9429"/>
      <deletedField name="Column9430"/>
      <deletedField name="Column9431"/>
      <deletedField name="Column9432"/>
      <deletedField name="Column9433"/>
      <deletedField name="Column9434"/>
      <deletedField name="Column9435"/>
      <deletedField name="Column9436"/>
      <deletedField name="Column9437"/>
      <deletedField name="Column9438"/>
      <deletedField name="Column9439"/>
      <deletedField name="Column9440"/>
      <deletedField name="Column9441"/>
      <deletedField name="Column9442"/>
      <deletedField name="Column9443"/>
      <deletedField name="Column9444"/>
      <deletedField name="Column9445"/>
      <deletedField name="Column9446"/>
      <deletedField name="Column9447"/>
      <deletedField name="Column9448"/>
      <deletedField name="Column9449"/>
      <deletedField name="Column9450"/>
      <deletedField name="Column9451"/>
      <deletedField name="Column9452"/>
      <deletedField name="Column9453"/>
      <deletedField name="Column9454"/>
      <deletedField name="Column9455"/>
      <deletedField name="Column9456"/>
      <deletedField name="Column9457"/>
      <deletedField name="Column9458"/>
      <deletedField name="Column9459"/>
      <deletedField name="Column9460"/>
      <deletedField name="Column9461"/>
      <deletedField name="Column9462"/>
      <deletedField name="Column9463"/>
      <deletedField name="Column9464"/>
      <deletedField name="Column9465"/>
      <deletedField name="Column9466"/>
      <deletedField name="Column9467"/>
      <deletedField name="Column9468"/>
      <deletedField name="Column9469"/>
      <deletedField name="Column9470"/>
      <deletedField name="Column9471"/>
      <deletedField name="Column9472"/>
      <deletedField name="Column9473"/>
      <deletedField name="Column9474"/>
      <deletedField name="Column9475"/>
      <deletedField name="Column9476"/>
      <deletedField name="Column9477"/>
      <deletedField name="Column9478"/>
      <deletedField name="Column9479"/>
      <deletedField name="Column9480"/>
      <deletedField name="Column9481"/>
      <deletedField name="Column9482"/>
      <deletedField name="Column9483"/>
      <deletedField name="Column9484"/>
      <deletedField name="Column9485"/>
      <deletedField name="Column9486"/>
      <deletedField name="Column9487"/>
      <deletedField name="Column9488"/>
      <deletedField name="Column9489"/>
      <deletedField name="Column9490"/>
      <deletedField name="Column9491"/>
      <deletedField name="Column9492"/>
      <deletedField name="Column9493"/>
      <deletedField name="Column9494"/>
      <deletedField name="Column9495"/>
      <deletedField name="Column9496"/>
      <deletedField name="Column9497"/>
      <deletedField name="Column9498"/>
      <deletedField name="Column9499"/>
      <deletedField name="Column9500"/>
      <deletedField name="Column9501"/>
      <deletedField name="Column9502"/>
      <deletedField name="Column9503"/>
      <deletedField name="Column9504"/>
      <deletedField name="Column9505"/>
      <deletedField name="Column9506"/>
      <deletedField name="Column9507"/>
      <deletedField name="Column9508"/>
      <deletedField name="Column9509"/>
      <deletedField name="Column9510"/>
      <deletedField name="Column9511"/>
      <deletedField name="Column9512"/>
      <deletedField name="Column9513"/>
      <deletedField name="Column9514"/>
      <deletedField name="Column9515"/>
      <deletedField name="Column9516"/>
      <deletedField name="Column9517"/>
      <deletedField name="Column9518"/>
      <deletedField name="Column9519"/>
      <deletedField name="Column9520"/>
      <deletedField name="Column9521"/>
      <deletedField name="Column9522"/>
      <deletedField name="Column9523"/>
      <deletedField name="Column9524"/>
      <deletedField name="Column9525"/>
      <deletedField name="Column9526"/>
      <deletedField name="Column9527"/>
      <deletedField name="Column9528"/>
      <deletedField name="Column9529"/>
      <deletedField name="Column9530"/>
      <deletedField name="Column9531"/>
      <deletedField name="Column9532"/>
      <deletedField name="Column9533"/>
      <deletedField name="Column9534"/>
      <deletedField name="Column9535"/>
      <deletedField name="Column9536"/>
      <deletedField name="Column9537"/>
      <deletedField name="Column9538"/>
      <deletedField name="Column9539"/>
      <deletedField name="Column9540"/>
      <deletedField name="Column9541"/>
      <deletedField name="Column9542"/>
      <deletedField name="Column9543"/>
      <deletedField name="Column9544"/>
      <deletedField name="Column9545"/>
      <deletedField name="Column9546"/>
      <deletedField name="Column9547"/>
      <deletedField name="Column9548"/>
      <deletedField name="Column9549"/>
      <deletedField name="Column9550"/>
      <deletedField name="Column9551"/>
      <deletedField name="Column9552"/>
      <deletedField name="Column9553"/>
      <deletedField name="Column9554"/>
      <deletedField name="Column9555"/>
      <deletedField name="Column9556"/>
      <deletedField name="Column9557"/>
      <deletedField name="Column9558"/>
      <deletedField name="Column9559"/>
      <deletedField name="Column9560"/>
      <deletedField name="Column9561"/>
      <deletedField name="Column9562"/>
      <deletedField name="Column9563"/>
      <deletedField name="Column9564"/>
      <deletedField name="Column9565"/>
      <deletedField name="Column9566"/>
      <deletedField name="Column9567"/>
      <deletedField name="Column9568"/>
      <deletedField name="Column9569"/>
      <deletedField name="Column9570"/>
      <deletedField name="Column9571"/>
      <deletedField name="Column9572"/>
      <deletedField name="Column9573"/>
      <deletedField name="Column9574"/>
      <deletedField name="Column9575"/>
      <deletedField name="Column9576"/>
      <deletedField name="Column9577"/>
      <deletedField name="Column9578"/>
      <deletedField name="Column9579"/>
      <deletedField name="Column9580"/>
      <deletedField name="Column9581"/>
      <deletedField name="Column9582"/>
      <deletedField name="Column9583"/>
      <deletedField name="Column9584"/>
      <deletedField name="Column9585"/>
      <deletedField name="Column9586"/>
      <deletedField name="Column9587"/>
      <deletedField name="Column9588"/>
      <deletedField name="Column9589"/>
      <deletedField name="Column9590"/>
      <deletedField name="Column9591"/>
      <deletedField name="Column9592"/>
      <deletedField name="Column9593"/>
      <deletedField name="Column9594"/>
      <deletedField name="Column9595"/>
      <deletedField name="Column9596"/>
      <deletedField name="Column9597"/>
      <deletedField name="Column9598"/>
      <deletedField name="Column9599"/>
      <deletedField name="Column9600"/>
      <deletedField name="Column9601"/>
      <deletedField name="Column9602"/>
      <deletedField name="Column9603"/>
      <deletedField name="Column9604"/>
      <deletedField name="Column9605"/>
      <deletedField name="Column9606"/>
      <deletedField name="Column9607"/>
      <deletedField name="Column9608"/>
      <deletedField name="Column9609"/>
      <deletedField name="Column9610"/>
      <deletedField name="Column9611"/>
      <deletedField name="Column9612"/>
      <deletedField name="Column9613"/>
      <deletedField name="Column9614"/>
      <deletedField name="Column9615"/>
      <deletedField name="Column9616"/>
      <deletedField name="Column9617"/>
      <deletedField name="Column9618"/>
      <deletedField name="Column9619"/>
      <deletedField name="Column9620"/>
      <deletedField name="Column9621"/>
      <deletedField name="Column9622"/>
      <deletedField name="Column9623"/>
      <deletedField name="Column9624"/>
      <deletedField name="Column9625"/>
      <deletedField name="Column9626"/>
      <deletedField name="Column9627"/>
      <deletedField name="Column9628"/>
      <deletedField name="Column9629"/>
      <deletedField name="Column9630"/>
      <deletedField name="Column9631"/>
      <deletedField name="Column9632"/>
      <deletedField name="Column9633"/>
      <deletedField name="Column9634"/>
      <deletedField name="Column9635"/>
      <deletedField name="Column9636"/>
      <deletedField name="Column9637"/>
      <deletedField name="Column9638"/>
      <deletedField name="Column9639"/>
      <deletedField name="Column9640"/>
      <deletedField name="Column9641"/>
      <deletedField name="Column9642"/>
      <deletedField name="Column9643"/>
      <deletedField name="Column9644"/>
      <deletedField name="Column9645"/>
      <deletedField name="Column9646"/>
      <deletedField name="Column9647"/>
      <deletedField name="Column9648"/>
      <deletedField name="Column9649"/>
      <deletedField name="Column9650"/>
      <deletedField name="Column9651"/>
      <deletedField name="Column9652"/>
      <deletedField name="Column9653"/>
      <deletedField name="Column9654"/>
      <deletedField name="Column9655"/>
      <deletedField name="Column9656"/>
      <deletedField name="Column9657"/>
      <deletedField name="Column9658"/>
      <deletedField name="Column9659"/>
      <deletedField name="Column9660"/>
      <deletedField name="Column9661"/>
      <deletedField name="Column9662"/>
      <deletedField name="Column9663"/>
      <deletedField name="Column9664"/>
      <deletedField name="Column9665"/>
      <deletedField name="Column9666"/>
      <deletedField name="Column9667"/>
      <deletedField name="Column9668"/>
      <deletedField name="Column9669"/>
      <deletedField name="Column9670"/>
      <deletedField name="Column9671"/>
      <deletedField name="Column9672"/>
      <deletedField name="Column9673"/>
      <deletedField name="Column9674"/>
      <deletedField name="Column9675"/>
      <deletedField name="Column9676"/>
      <deletedField name="Column9677"/>
      <deletedField name="Column9678"/>
      <deletedField name="Column9679"/>
      <deletedField name="Column9680"/>
      <deletedField name="Column9681"/>
      <deletedField name="Column9682"/>
      <deletedField name="Column9683"/>
      <deletedField name="Column9684"/>
      <deletedField name="Column9685"/>
      <deletedField name="Column9686"/>
      <deletedField name="Column9687"/>
      <deletedField name="Column9688"/>
      <deletedField name="Column9689"/>
      <deletedField name="Column9690"/>
      <deletedField name="Column9691"/>
      <deletedField name="Column9692"/>
      <deletedField name="Column9693"/>
      <deletedField name="Column9694"/>
      <deletedField name="Column9695"/>
      <deletedField name="Column9696"/>
      <deletedField name="Column9697"/>
      <deletedField name="Column9698"/>
      <deletedField name="Column9699"/>
      <deletedField name="Column9700"/>
      <deletedField name="Column9701"/>
      <deletedField name="Column9702"/>
      <deletedField name="Column9703"/>
      <deletedField name="Column9704"/>
      <deletedField name="Column9705"/>
      <deletedField name="Column9706"/>
      <deletedField name="Column9707"/>
      <deletedField name="Column9708"/>
      <deletedField name="Column9709"/>
      <deletedField name="Column9710"/>
      <deletedField name="Column9711"/>
      <deletedField name="Column9712"/>
      <deletedField name="Column9713"/>
      <deletedField name="Column9714"/>
      <deletedField name="Column9715"/>
      <deletedField name="Column9716"/>
      <deletedField name="Column9717"/>
      <deletedField name="Column9718"/>
      <deletedField name="Column9719"/>
      <deletedField name="Column9720"/>
      <deletedField name="Column9721"/>
      <deletedField name="Column9722"/>
      <deletedField name="Column9723"/>
      <deletedField name="Column9724"/>
      <deletedField name="Column9725"/>
      <deletedField name="Column9726"/>
      <deletedField name="Column9727"/>
      <deletedField name="Column9728"/>
      <deletedField name="Column9729"/>
      <deletedField name="Column9730"/>
      <deletedField name="Column9731"/>
      <deletedField name="Column9732"/>
      <deletedField name="Column9733"/>
      <deletedField name="Column9734"/>
      <deletedField name="Column9735"/>
      <deletedField name="Column9736"/>
      <deletedField name="Column9737"/>
      <deletedField name="Column9738"/>
      <deletedField name="Column9739"/>
      <deletedField name="Column9740"/>
      <deletedField name="Column9741"/>
      <deletedField name="Column9742"/>
      <deletedField name="Column9743"/>
      <deletedField name="Column9744"/>
      <deletedField name="Column9745"/>
      <deletedField name="Column9746"/>
      <deletedField name="Column9747"/>
      <deletedField name="Column9748"/>
      <deletedField name="Column9749"/>
      <deletedField name="Column9750"/>
      <deletedField name="Column9751"/>
      <deletedField name="Column9752"/>
      <deletedField name="Column9753"/>
      <deletedField name="Column9754"/>
      <deletedField name="Column9755"/>
      <deletedField name="Column9756"/>
      <deletedField name="Column9757"/>
      <deletedField name="Column9758"/>
      <deletedField name="Column9759"/>
      <deletedField name="Column9760"/>
      <deletedField name="Column9761"/>
      <deletedField name="Column9762"/>
      <deletedField name="Column9763"/>
      <deletedField name="Column9764"/>
      <deletedField name="Column9765"/>
      <deletedField name="Column9766"/>
      <deletedField name="Column9767"/>
      <deletedField name="Column9768"/>
      <deletedField name="Column9769"/>
      <deletedField name="Column9770"/>
      <deletedField name="Column9771"/>
      <deletedField name="Column9772"/>
      <deletedField name="Column9773"/>
      <deletedField name="Column9774"/>
      <deletedField name="Column9775"/>
      <deletedField name="Column9776"/>
      <deletedField name="Column9777"/>
      <deletedField name="Column9778"/>
      <deletedField name="Column9779"/>
      <deletedField name="Column9780"/>
      <deletedField name="Column9781"/>
      <deletedField name="Column9782"/>
      <deletedField name="Column9783"/>
      <deletedField name="Column9784"/>
      <deletedField name="Column9785"/>
      <deletedField name="Column9786"/>
      <deletedField name="Column9787"/>
      <deletedField name="Column9788"/>
      <deletedField name="Column9789"/>
      <deletedField name="Column9790"/>
      <deletedField name="Column9791"/>
      <deletedField name="Column9792"/>
      <deletedField name="Column9793"/>
      <deletedField name="Column9794"/>
      <deletedField name="Column9795"/>
      <deletedField name="Column9796"/>
      <deletedField name="Column9797"/>
      <deletedField name="Column9798"/>
      <deletedField name="Column9799"/>
      <deletedField name="Column9800"/>
      <deletedField name="Column9801"/>
      <deletedField name="Column9802"/>
      <deletedField name="Column9803"/>
      <deletedField name="Column9804"/>
      <deletedField name="Column9805"/>
      <deletedField name="Column9806"/>
      <deletedField name="Column9807"/>
      <deletedField name="Column9808"/>
      <deletedField name="Column9809"/>
      <deletedField name="Column9810"/>
      <deletedField name="Column9811"/>
      <deletedField name="Column9812"/>
      <deletedField name="Column9813"/>
      <deletedField name="Column9814"/>
      <deletedField name="Column9815"/>
      <deletedField name="Column9816"/>
      <deletedField name="Column9817"/>
      <deletedField name="Column9818"/>
      <deletedField name="Column9819"/>
      <deletedField name="Column9820"/>
      <deletedField name="Column9821"/>
      <deletedField name="Column9822"/>
      <deletedField name="Column9823"/>
      <deletedField name="Column9824"/>
      <deletedField name="Column9825"/>
      <deletedField name="Column9826"/>
      <deletedField name="Column9827"/>
      <deletedField name="Column9828"/>
      <deletedField name="Column9829"/>
      <deletedField name="Column9830"/>
      <deletedField name="Column9831"/>
      <deletedField name="Column9832"/>
      <deletedField name="Column9833"/>
      <deletedField name="Column9834"/>
      <deletedField name="Column9835"/>
      <deletedField name="Column9836"/>
      <deletedField name="Column9837"/>
      <deletedField name="Column9838"/>
      <deletedField name="Column9839"/>
      <deletedField name="Column9840"/>
      <deletedField name="Column9841"/>
      <deletedField name="Column9842"/>
      <deletedField name="Column9843"/>
      <deletedField name="Column9844"/>
      <deletedField name="Column9845"/>
      <deletedField name="Column9846"/>
      <deletedField name="Column9847"/>
      <deletedField name="Column9848"/>
      <deletedField name="Column9849"/>
      <deletedField name="Column9850"/>
      <deletedField name="Column9851"/>
      <deletedField name="Column9852"/>
      <deletedField name="Column9853"/>
      <deletedField name="Column9854"/>
      <deletedField name="Column9855"/>
      <deletedField name="Column9856"/>
      <deletedField name="Column9857"/>
      <deletedField name="Column9858"/>
      <deletedField name="Column9859"/>
      <deletedField name="Column9860"/>
      <deletedField name="Column9861"/>
      <deletedField name="Column9862"/>
      <deletedField name="Column9863"/>
      <deletedField name="Column9864"/>
      <deletedField name="Column9865"/>
      <deletedField name="Column9866"/>
      <deletedField name="Column9867"/>
      <deletedField name="Column9868"/>
      <deletedField name="Column9869"/>
      <deletedField name="Column9870"/>
      <deletedField name="Column9871"/>
      <deletedField name="Column9872"/>
      <deletedField name="Column9873"/>
      <deletedField name="Column9874"/>
      <deletedField name="Column9875"/>
      <deletedField name="Column9876"/>
      <deletedField name="Column9877"/>
      <deletedField name="Column9878"/>
      <deletedField name="Column9879"/>
      <deletedField name="Column9880"/>
      <deletedField name="Column9881"/>
      <deletedField name="Column9882"/>
      <deletedField name="Column9883"/>
      <deletedField name="Column9884"/>
      <deletedField name="Column9885"/>
      <deletedField name="Column9886"/>
      <deletedField name="Column9887"/>
      <deletedField name="Column9888"/>
      <deletedField name="Column9889"/>
      <deletedField name="Column9890"/>
      <deletedField name="Column9891"/>
      <deletedField name="Column9892"/>
      <deletedField name="Column9893"/>
      <deletedField name="Column9894"/>
      <deletedField name="Column9895"/>
      <deletedField name="Column9896"/>
      <deletedField name="Column9897"/>
      <deletedField name="Column9898"/>
      <deletedField name="Column9899"/>
      <deletedField name="Column9900"/>
      <deletedField name="Column9901"/>
      <deletedField name="Column9902"/>
      <deletedField name="Column9903"/>
      <deletedField name="Column9904"/>
      <deletedField name="Column9905"/>
      <deletedField name="Column9906"/>
      <deletedField name="Column9907"/>
      <deletedField name="Column9908"/>
      <deletedField name="Column9909"/>
      <deletedField name="Column9910"/>
      <deletedField name="Column9911"/>
      <deletedField name="Column9912"/>
      <deletedField name="Column9913"/>
      <deletedField name="Column9914"/>
      <deletedField name="Column9915"/>
      <deletedField name="Column9916"/>
      <deletedField name="Column9917"/>
      <deletedField name="Column9918"/>
      <deletedField name="Column9919"/>
      <deletedField name="Column9920"/>
      <deletedField name="Column9921"/>
      <deletedField name="Column9922"/>
      <deletedField name="Column9923"/>
      <deletedField name="Column9924"/>
      <deletedField name="Column9925"/>
      <deletedField name="Column9926"/>
      <deletedField name="Column9927"/>
      <deletedField name="Column9928"/>
      <deletedField name="Column9929"/>
      <deletedField name="Column9930"/>
      <deletedField name="Column9931"/>
      <deletedField name="Column9932"/>
      <deletedField name="Column9933"/>
      <deletedField name="Column9934"/>
      <deletedField name="Column9935"/>
      <deletedField name="Column9936"/>
      <deletedField name="Column9937"/>
      <deletedField name="Column9938"/>
      <deletedField name="Column9939"/>
      <deletedField name="Column9940"/>
      <deletedField name="Column9941"/>
      <deletedField name="Column9942"/>
      <deletedField name="Column9943"/>
      <deletedField name="Column9944"/>
      <deletedField name="Column9945"/>
      <deletedField name="Column9946"/>
      <deletedField name="Column9947"/>
      <deletedField name="Column9948"/>
      <deletedField name="Column9949"/>
      <deletedField name="Column9950"/>
      <deletedField name="Column9951"/>
      <deletedField name="Column9952"/>
      <deletedField name="Column9953"/>
      <deletedField name="Column9954"/>
      <deletedField name="Column9955"/>
      <deletedField name="Column9956"/>
      <deletedField name="Column9957"/>
      <deletedField name="Column9958"/>
      <deletedField name="Column9959"/>
      <deletedField name="Column9960"/>
      <deletedField name="Column9961"/>
      <deletedField name="Column9962"/>
      <deletedField name="Column9963"/>
      <deletedField name="Column9964"/>
      <deletedField name="Column9965"/>
      <deletedField name="Column9966"/>
      <deletedField name="Column9967"/>
      <deletedField name="Column9968"/>
      <deletedField name="Column9969"/>
      <deletedField name="Column9970"/>
      <deletedField name="Column9971"/>
      <deletedField name="Column9972"/>
      <deletedField name="Column9973"/>
      <deletedField name="Column9974"/>
      <deletedField name="Column9975"/>
      <deletedField name="Column9976"/>
      <deletedField name="Column9977"/>
      <deletedField name="Column9978"/>
      <deletedField name="Column9979"/>
      <deletedField name="Column9980"/>
      <deletedField name="Column9981"/>
      <deletedField name="Column9982"/>
      <deletedField name="Column9983"/>
      <deletedField name="Column9984"/>
      <deletedField name="Column9985"/>
      <deletedField name="Column9986"/>
      <deletedField name="Column9987"/>
      <deletedField name="Column9988"/>
      <deletedField name="Column9989"/>
      <deletedField name="Column9990"/>
      <deletedField name="Column9991"/>
      <deletedField name="Column9992"/>
      <deletedField name="Column9993"/>
      <deletedField name="Column9994"/>
      <deletedField name="Column9995"/>
      <deletedField name="Column9996"/>
      <deletedField name="Column9997"/>
      <deletedField name="Column9998"/>
      <deletedField name="Column9999"/>
      <deletedField name="Column10000"/>
      <deletedField name="Column10001"/>
      <deletedField name="Column10002"/>
      <deletedField name="Column10003"/>
      <deletedField name="Column10004"/>
      <deletedField name="Column10005"/>
      <deletedField name="Column10006"/>
      <deletedField name="Column10007"/>
      <deletedField name="Column10008"/>
      <deletedField name="Column10009"/>
      <deletedField name="Column10010"/>
      <deletedField name="Column10011"/>
      <deletedField name="Column10012"/>
      <deletedField name="Column10013"/>
      <deletedField name="Column10014"/>
      <deletedField name="Column10015"/>
      <deletedField name="Column10016"/>
      <deletedField name="Column10017"/>
      <deletedField name="Column10018"/>
      <deletedField name="Column10019"/>
      <deletedField name="Column10020"/>
      <deletedField name="Column10021"/>
      <deletedField name="Column10022"/>
      <deletedField name="Column10023"/>
      <deletedField name="Column10024"/>
      <deletedField name="Column10025"/>
      <deletedField name="Column10026"/>
      <deletedField name="Column10027"/>
      <deletedField name="Column10028"/>
      <deletedField name="Column10029"/>
      <deletedField name="Column10030"/>
      <deletedField name="Column10031"/>
      <deletedField name="Column10032"/>
      <deletedField name="Column10033"/>
      <deletedField name="Column10034"/>
      <deletedField name="Column10035"/>
      <deletedField name="Column10036"/>
      <deletedField name="Column10037"/>
      <deletedField name="Column10038"/>
      <deletedField name="Column10039"/>
      <deletedField name="Column10040"/>
      <deletedField name="Column10041"/>
      <deletedField name="Column10042"/>
      <deletedField name="Column10043"/>
      <deletedField name="Column10044"/>
      <deletedField name="Column10045"/>
      <deletedField name="Column10046"/>
      <deletedField name="Column10047"/>
      <deletedField name="Column10048"/>
      <deletedField name="Column10049"/>
      <deletedField name="Column10050"/>
      <deletedField name="Column10051"/>
      <deletedField name="Column10052"/>
      <deletedField name="Column10053"/>
      <deletedField name="Column10054"/>
      <deletedField name="Column10055"/>
      <deletedField name="Column10056"/>
      <deletedField name="Column10057"/>
      <deletedField name="Column10058"/>
      <deletedField name="Column10059"/>
      <deletedField name="Column10060"/>
      <deletedField name="Column10061"/>
      <deletedField name="Column10062"/>
      <deletedField name="Column10063"/>
      <deletedField name="Column10064"/>
      <deletedField name="Column10065"/>
      <deletedField name="Column10066"/>
      <deletedField name="Column10067"/>
      <deletedField name="Column10068"/>
      <deletedField name="Column10069"/>
      <deletedField name="Column10070"/>
      <deletedField name="Column10071"/>
      <deletedField name="Column10072"/>
      <deletedField name="Column10073"/>
      <deletedField name="Column10074"/>
      <deletedField name="Column10075"/>
      <deletedField name="Column10076"/>
      <deletedField name="Column10077"/>
      <deletedField name="Column10078"/>
      <deletedField name="Column10079"/>
      <deletedField name="Column10080"/>
      <deletedField name="Column10081"/>
      <deletedField name="Column10082"/>
      <deletedField name="Column10083"/>
      <deletedField name="Column10084"/>
      <deletedField name="Column10085"/>
      <deletedField name="Column10086"/>
      <deletedField name="Column10087"/>
      <deletedField name="Column10088"/>
      <deletedField name="Column10089"/>
      <deletedField name="Column10090"/>
      <deletedField name="Column10091"/>
      <deletedField name="Column10092"/>
      <deletedField name="Column10093"/>
      <deletedField name="Column10094"/>
      <deletedField name="Column10095"/>
      <deletedField name="Column10096"/>
      <deletedField name="Column10097"/>
      <deletedField name="Column10098"/>
      <deletedField name="Column10099"/>
      <deletedField name="Column10100"/>
      <deletedField name="Column10101"/>
      <deletedField name="Column10102"/>
      <deletedField name="Column10103"/>
      <deletedField name="Column10104"/>
      <deletedField name="Column10105"/>
      <deletedField name="Column10106"/>
      <deletedField name="Column10107"/>
      <deletedField name="Column10108"/>
      <deletedField name="Column10109"/>
      <deletedField name="Column10110"/>
      <deletedField name="Column10111"/>
      <deletedField name="Column10112"/>
      <deletedField name="Column10113"/>
      <deletedField name="Column10114"/>
      <deletedField name="Column10115"/>
      <deletedField name="Column10116"/>
      <deletedField name="Column10117"/>
      <deletedField name="Column10118"/>
      <deletedField name="Column10119"/>
      <deletedField name="Column10120"/>
      <deletedField name="Column10121"/>
      <deletedField name="Column10122"/>
      <deletedField name="Column10123"/>
      <deletedField name="Column10124"/>
      <deletedField name="Column10125"/>
      <deletedField name="Column10126"/>
      <deletedField name="Column10127"/>
      <deletedField name="Column10128"/>
      <deletedField name="Column10129"/>
      <deletedField name="Column10130"/>
      <deletedField name="Column10131"/>
      <deletedField name="Column10132"/>
      <deletedField name="Column10133"/>
      <deletedField name="Column10134"/>
      <deletedField name="Column10135"/>
      <deletedField name="Column10136"/>
      <deletedField name="Column10137"/>
      <deletedField name="Column10138"/>
      <deletedField name="Column10139"/>
      <deletedField name="Column10140"/>
      <deletedField name="Column10141"/>
      <deletedField name="Column10142"/>
      <deletedField name="Column10143"/>
      <deletedField name="Column10144"/>
      <deletedField name="Column10145"/>
      <deletedField name="Column10146"/>
      <deletedField name="Column10147"/>
      <deletedField name="Column10148"/>
      <deletedField name="Column10149"/>
      <deletedField name="Column10150"/>
      <deletedField name="Column10151"/>
      <deletedField name="Column10152"/>
      <deletedField name="Column10153"/>
      <deletedField name="Column10154"/>
      <deletedField name="Column10155"/>
      <deletedField name="Column10156"/>
      <deletedField name="Column10157"/>
      <deletedField name="Column10158"/>
      <deletedField name="Column10159"/>
      <deletedField name="Column10160"/>
      <deletedField name="Column10161"/>
      <deletedField name="Column10162"/>
      <deletedField name="Column10163"/>
      <deletedField name="Column10164"/>
      <deletedField name="Column10165"/>
      <deletedField name="Column10166"/>
      <deletedField name="Column10167"/>
      <deletedField name="Column10168"/>
      <deletedField name="Column10169"/>
      <deletedField name="Column10170"/>
      <deletedField name="Column10171"/>
      <deletedField name="Column10172"/>
      <deletedField name="Column10173"/>
      <deletedField name="Column10174"/>
      <deletedField name="Column10175"/>
      <deletedField name="Column10176"/>
      <deletedField name="Column10177"/>
      <deletedField name="Column10178"/>
      <deletedField name="Column10179"/>
      <deletedField name="Column10180"/>
      <deletedField name="Column10181"/>
      <deletedField name="Column10182"/>
      <deletedField name="Column10183"/>
      <deletedField name="Column10184"/>
      <deletedField name="Column10185"/>
      <deletedField name="Column10186"/>
      <deletedField name="Column10187"/>
      <deletedField name="Column10188"/>
      <deletedField name="Column10189"/>
      <deletedField name="Column10190"/>
      <deletedField name="Column10191"/>
      <deletedField name="Column10192"/>
      <deletedField name="Column10193"/>
      <deletedField name="Column10194"/>
      <deletedField name="Column10195"/>
      <deletedField name="Column10196"/>
      <deletedField name="Column10197"/>
      <deletedField name="Column10198"/>
      <deletedField name="Column10199"/>
      <deletedField name="Column10200"/>
      <deletedField name="Column10201"/>
      <deletedField name="Column10202"/>
      <deletedField name="Column10203"/>
      <deletedField name="Column10204"/>
      <deletedField name="Column10205"/>
      <deletedField name="Column10206"/>
      <deletedField name="Column10207"/>
      <deletedField name="Column10208"/>
      <deletedField name="Column10209"/>
      <deletedField name="Column10210"/>
      <deletedField name="Column10211"/>
      <deletedField name="Column10212"/>
      <deletedField name="Column10213"/>
      <deletedField name="Column10214"/>
      <deletedField name="Column10215"/>
      <deletedField name="Column10216"/>
      <deletedField name="Column10217"/>
      <deletedField name="Column10218"/>
      <deletedField name="Column10219"/>
      <deletedField name="Column10220"/>
      <deletedField name="Column10221"/>
      <deletedField name="Column10222"/>
      <deletedField name="Column10223"/>
      <deletedField name="Column10224"/>
      <deletedField name="Column10225"/>
      <deletedField name="Column10226"/>
      <deletedField name="Column10227"/>
      <deletedField name="Column10228"/>
      <deletedField name="Column10229"/>
      <deletedField name="Column10230"/>
      <deletedField name="Column10231"/>
      <deletedField name="Column10232"/>
      <deletedField name="Column10233"/>
      <deletedField name="Column10234"/>
      <deletedField name="Column10235"/>
      <deletedField name="Column10236"/>
      <deletedField name="Column10237"/>
      <deletedField name="Column10238"/>
      <deletedField name="Column10239"/>
      <deletedField name="Column10240"/>
      <deletedField name="Column10241"/>
      <deletedField name="Column10242"/>
      <deletedField name="Column10243"/>
      <deletedField name="Column10244"/>
      <deletedField name="Column10245"/>
      <deletedField name="Column10246"/>
      <deletedField name="Column10247"/>
      <deletedField name="Column10248"/>
      <deletedField name="Column10249"/>
      <deletedField name="Column10250"/>
      <deletedField name="Column10251"/>
      <deletedField name="Column10252"/>
      <deletedField name="Column10253"/>
      <deletedField name="Column10254"/>
      <deletedField name="Column10255"/>
      <deletedField name="Column10256"/>
      <deletedField name="Column10257"/>
      <deletedField name="Column10258"/>
      <deletedField name="Column10259"/>
      <deletedField name="Column10260"/>
      <deletedField name="Column10261"/>
      <deletedField name="Column10262"/>
      <deletedField name="Column10263"/>
      <deletedField name="Column10264"/>
      <deletedField name="Column10265"/>
      <deletedField name="Column10266"/>
      <deletedField name="Column10267"/>
      <deletedField name="Column10268"/>
      <deletedField name="Column10269"/>
      <deletedField name="Column10270"/>
      <deletedField name="Column10271"/>
      <deletedField name="Column10272"/>
      <deletedField name="Column10273"/>
      <deletedField name="Column10274"/>
      <deletedField name="Column10275"/>
      <deletedField name="Column10276"/>
      <deletedField name="Column10277"/>
      <deletedField name="Column10278"/>
      <deletedField name="Column10279"/>
      <deletedField name="Column10280"/>
      <deletedField name="Column10281"/>
      <deletedField name="Column10282"/>
      <deletedField name="Column10283"/>
      <deletedField name="Column10284"/>
      <deletedField name="Column10285"/>
      <deletedField name="Column10286"/>
      <deletedField name="Column10287"/>
      <deletedField name="Column10288"/>
      <deletedField name="Column10289"/>
      <deletedField name="Column10290"/>
      <deletedField name="Column10291"/>
      <deletedField name="Column10292"/>
      <deletedField name="Column10293"/>
      <deletedField name="Column10294"/>
      <deletedField name="Column10295"/>
      <deletedField name="Column10296"/>
      <deletedField name="Column10297"/>
      <deletedField name="Column10298"/>
      <deletedField name="Column10299"/>
      <deletedField name="Column10300"/>
      <deletedField name="Column10301"/>
      <deletedField name="Column10302"/>
      <deletedField name="Column10303"/>
      <deletedField name="Column10304"/>
      <deletedField name="Column10305"/>
      <deletedField name="Column10306"/>
      <deletedField name="Column10307"/>
      <deletedField name="Column10308"/>
      <deletedField name="Column10309"/>
      <deletedField name="Column10310"/>
      <deletedField name="Column10311"/>
      <deletedField name="Column10312"/>
      <deletedField name="Column10313"/>
      <deletedField name="Column10314"/>
      <deletedField name="Column10315"/>
      <deletedField name="Column10316"/>
      <deletedField name="Column10317"/>
      <deletedField name="Column10318"/>
      <deletedField name="Column10319"/>
      <deletedField name="Column10320"/>
      <deletedField name="Column10321"/>
      <deletedField name="Column10322"/>
      <deletedField name="Column10323"/>
      <deletedField name="Column10324"/>
      <deletedField name="Column10325"/>
      <deletedField name="Column10326"/>
      <deletedField name="Column10327"/>
      <deletedField name="Column10328"/>
      <deletedField name="Column10329"/>
      <deletedField name="Column10330"/>
      <deletedField name="Column10331"/>
      <deletedField name="Column10332"/>
      <deletedField name="Column10333"/>
      <deletedField name="Column10334"/>
      <deletedField name="Column10335"/>
      <deletedField name="Column10336"/>
      <deletedField name="Column10337"/>
      <deletedField name="Column10338"/>
      <deletedField name="Column10339"/>
      <deletedField name="Column10340"/>
      <deletedField name="Column10341"/>
      <deletedField name="Column10342"/>
      <deletedField name="Column10343"/>
      <deletedField name="Column10344"/>
      <deletedField name="Column10345"/>
      <deletedField name="Column10346"/>
      <deletedField name="Column10347"/>
      <deletedField name="Column10348"/>
      <deletedField name="Column10349"/>
      <deletedField name="Column10350"/>
      <deletedField name="Column10351"/>
      <deletedField name="Column10352"/>
      <deletedField name="Column10353"/>
      <deletedField name="Column10354"/>
      <deletedField name="Column10355"/>
      <deletedField name="Column10356"/>
      <deletedField name="Column10357"/>
      <deletedField name="Column10358"/>
      <deletedField name="Column10359"/>
      <deletedField name="Column10360"/>
      <deletedField name="Column10361"/>
      <deletedField name="Column10362"/>
      <deletedField name="Column10363"/>
      <deletedField name="Column10364"/>
      <deletedField name="Column10365"/>
      <deletedField name="Column10366"/>
      <deletedField name="Column10367"/>
      <deletedField name="Column10368"/>
      <deletedField name="Column10369"/>
      <deletedField name="Column10370"/>
      <deletedField name="Column10371"/>
      <deletedField name="Column10372"/>
      <deletedField name="Column10373"/>
      <deletedField name="Column10374"/>
      <deletedField name="Column10375"/>
      <deletedField name="Column10376"/>
      <deletedField name="Column10377"/>
      <deletedField name="Column10378"/>
      <deletedField name="Column10379"/>
      <deletedField name="Column10380"/>
      <deletedField name="Column10381"/>
      <deletedField name="Column10382"/>
      <deletedField name="Column10383"/>
      <deletedField name="Column10384"/>
      <deletedField name="Column10385"/>
      <deletedField name="Column10386"/>
      <deletedField name="Column10387"/>
      <deletedField name="Column10388"/>
      <deletedField name="Column10389"/>
      <deletedField name="Column10390"/>
      <deletedField name="Column10391"/>
      <deletedField name="Column10392"/>
      <deletedField name="Column10393"/>
      <deletedField name="Column10394"/>
      <deletedField name="Column10395"/>
      <deletedField name="Column10396"/>
      <deletedField name="Column10397"/>
      <deletedField name="Column10398"/>
      <deletedField name="Column10399"/>
      <deletedField name="Column10400"/>
      <deletedField name="Column10401"/>
      <deletedField name="Column10402"/>
      <deletedField name="Column10403"/>
      <deletedField name="Column10404"/>
      <deletedField name="Column10405"/>
      <deletedField name="Column10406"/>
      <deletedField name="Column10407"/>
      <deletedField name="Column10408"/>
      <deletedField name="Column10409"/>
      <deletedField name="Column10410"/>
      <deletedField name="Column10411"/>
      <deletedField name="Column10412"/>
      <deletedField name="Column10413"/>
      <deletedField name="Column10414"/>
      <deletedField name="Column10415"/>
      <deletedField name="Column10416"/>
      <deletedField name="Column10417"/>
      <deletedField name="Column10418"/>
      <deletedField name="Column10419"/>
      <deletedField name="Column10420"/>
      <deletedField name="Column10421"/>
      <deletedField name="Column10422"/>
      <deletedField name="Column10423"/>
      <deletedField name="Column10424"/>
      <deletedField name="Column10425"/>
      <deletedField name="Column10426"/>
      <deletedField name="Column10427"/>
      <deletedField name="Column10428"/>
      <deletedField name="Column10429"/>
      <deletedField name="Column10430"/>
      <deletedField name="Column10431"/>
      <deletedField name="Column10432"/>
      <deletedField name="Column10433"/>
      <deletedField name="Column10434"/>
      <deletedField name="Column10435"/>
      <deletedField name="Column10436"/>
      <deletedField name="Column10437"/>
      <deletedField name="Column10438"/>
      <deletedField name="Column10439"/>
      <deletedField name="Column10440"/>
      <deletedField name="Column10441"/>
      <deletedField name="Column10442"/>
      <deletedField name="Column10443"/>
      <deletedField name="Column10444"/>
      <deletedField name="Column10445"/>
      <deletedField name="Column10446"/>
      <deletedField name="Column10447"/>
      <deletedField name="Column10448"/>
      <deletedField name="Column10449"/>
      <deletedField name="Column10450"/>
      <deletedField name="Column10451"/>
      <deletedField name="Column10452"/>
      <deletedField name="Column10453"/>
      <deletedField name="Column10454"/>
      <deletedField name="Column10455"/>
      <deletedField name="Column10456"/>
      <deletedField name="Column10457"/>
      <deletedField name="Column10458"/>
      <deletedField name="Column10459"/>
      <deletedField name="Column10460"/>
      <deletedField name="Column10461"/>
      <deletedField name="Column10462"/>
      <deletedField name="Column10463"/>
      <deletedField name="Column10464"/>
      <deletedField name="Column10465"/>
      <deletedField name="Column10466"/>
      <deletedField name="Column10467"/>
      <deletedField name="Column10468"/>
      <deletedField name="Column10469"/>
      <deletedField name="Column10470"/>
      <deletedField name="Column10471"/>
      <deletedField name="Column10472"/>
      <deletedField name="Column10473"/>
      <deletedField name="Column10474"/>
      <deletedField name="Column10475"/>
      <deletedField name="Column10476"/>
      <deletedField name="Column10477"/>
      <deletedField name="Column10478"/>
      <deletedField name="Column10479"/>
      <deletedField name="Column10480"/>
      <deletedField name="Column10481"/>
      <deletedField name="Column10482"/>
      <deletedField name="Column10483"/>
      <deletedField name="Column10484"/>
      <deletedField name="Column10485"/>
      <deletedField name="Column10486"/>
      <deletedField name="Column10487"/>
      <deletedField name="Column10488"/>
      <deletedField name="Column10489"/>
      <deletedField name="Column10490"/>
      <deletedField name="Column10491"/>
      <deletedField name="Column10492"/>
      <deletedField name="Column10493"/>
      <deletedField name="Column10494"/>
      <deletedField name="Column10495"/>
      <deletedField name="Column10496"/>
      <deletedField name="Column10497"/>
      <deletedField name="Column10498"/>
      <deletedField name="Column10499"/>
      <deletedField name="Column10500"/>
      <deletedField name="Column10501"/>
      <deletedField name="Column10502"/>
      <deletedField name="Column10503"/>
      <deletedField name="Column10504"/>
      <deletedField name="Column10505"/>
      <deletedField name="Column10506"/>
      <deletedField name="Column10507"/>
      <deletedField name="Column10508"/>
      <deletedField name="Column10509"/>
      <deletedField name="Column10510"/>
      <deletedField name="Column10511"/>
      <deletedField name="Column10512"/>
      <deletedField name="Column10513"/>
      <deletedField name="Column10514"/>
      <deletedField name="Column10515"/>
      <deletedField name="Column10516"/>
      <deletedField name="Column10517"/>
      <deletedField name="Column10518"/>
      <deletedField name="Column10519"/>
      <deletedField name="Column10520"/>
      <deletedField name="Column10521"/>
      <deletedField name="Column10522"/>
      <deletedField name="Column10523"/>
      <deletedField name="Column10524"/>
      <deletedField name="Column10525"/>
      <deletedField name="Column10526"/>
      <deletedField name="Column10527"/>
      <deletedField name="Column10528"/>
      <deletedField name="Column10529"/>
      <deletedField name="Column10530"/>
      <deletedField name="Column10531"/>
      <deletedField name="Column10532"/>
      <deletedField name="Column10533"/>
      <deletedField name="Column10534"/>
      <deletedField name="Column10535"/>
      <deletedField name="Column10536"/>
      <deletedField name="Column10537"/>
      <deletedField name="Column10538"/>
      <deletedField name="Column10539"/>
      <deletedField name="Column10540"/>
      <deletedField name="Column10541"/>
      <deletedField name="Column10542"/>
      <deletedField name="Column10543"/>
      <deletedField name="Column10544"/>
      <deletedField name="Column10545"/>
      <deletedField name="Column10546"/>
      <deletedField name="Column10547"/>
      <deletedField name="Column10548"/>
      <deletedField name="Column10549"/>
      <deletedField name="Column10550"/>
      <deletedField name="Column10551"/>
      <deletedField name="Column10552"/>
      <deletedField name="Column10553"/>
      <deletedField name="Column10554"/>
      <deletedField name="Column10555"/>
      <deletedField name="Column10556"/>
      <deletedField name="Column10557"/>
      <deletedField name="Column10558"/>
      <deletedField name="Column10559"/>
      <deletedField name="Column10560"/>
      <deletedField name="Column10561"/>
      <deletedField name="Column10562"/>
      <deletedField name="Column10563"/>
      <deletedField name="Column10564"/>
      <deletedField name="Column10565"/>
      <deletedField name="Column10566"/>
      <deletedField name="Column10567"/>
      <deletedField name="Column10568"/>
      <deletedField name="Column10569"/>
      <deletedField name="Column10570"/>
      <deletedField name="Column10571"/>
      <deletedField name="Column10572"/>
      <deletedField name="Column10573"/>
      <deletedField name="Column10574"/>
      <deletedField name="Column10575"/>
      <deletedField name="Column10576"/>
      <deletedField name="Column10577"/>
      <deletedField name="Column10578"/>
      <deletedField name="Column10579"/>
      <deletedField name="Column10580"/>
      <deletedField name="Column10581"/>
      <deletedField name="Column10582"/>
      <deletedField name="Column10583"/>
      <deletedField name="Column10584"/>
      <deletedField name="Column10585"/>
      <deletedField name="Column10586"/>
      <deletedField name="Column10587"/>
      <deletedField name="Column10588"/>
      <deletedField name="Column10589"/>
      <deletedField name="Column10590"/>
      <deletedField name="Column10591"/>
      <deletedField name="Column10592"/>
      <deletedField name="Column10593"/>
      <deletedField name="Column10594"/>
      <deletedField name="Column10595"/>
      <deletedField name="Column10596"/>
      <deletedField name="Column10597"/>
      <deletedField name="Column10598"/>
      <deletedField name="Column10599"/>
      <deletedField name="Column10600"/>
      <deletedField name="Column10601"/>
      <deletedField name="Column10602"/>
      <deletedField name="Column10603"/>
      <deletedField name="Column10604"/>
      <deletedField name="Column10605"/>
      <deletedField name="Column10606"/>
      <deletedField name="Column10607"/>
      <deletedField name="Column10608"/>
      <deletedField name="Column10609"/>
      <deletedField name="Column10610"/>
      <deletedField name="Column10611"/>
      <deletedField name="Column10612"/>
      <deletedField name="Column10613"/>
      <deletedField name="Column10614"/>
      <deletedField name="Column10615"/>
      <deletedField name="Column10616"/>
      <deletedField name="Column10617"/>
      <deletedField name="Column10618"/>
      <deletedField name="Column10619"/>
      <deletedField name="Column10620"/>
      <deletedField name="Column10621"/>
      <deletedField name="Column10622"/>
      <deletedField name="Column10623"/>
      <deletedField name="Column10624"/>
      <deletedField name="Column10625"/>
      <deletedField name="Column10626"/>
      <deletedField name="Column10627"/>
      <deletedField name="Column10628"/>
      <deletedField name="Column10629"/>
      <deletedField name="Column10630"/>
      <deletedField name="Column10631"/>
      <deletedField name="Column10632"/>
      <deletedField name="Column10633"/>
      <deletedField name="Column10634"/>
      <deletedField name="Column10635"/>
      <deletedField name="Column10636"/>
      <deletedField name="Column10637"/>
      <deletedField name="Column10638"/>
      <deletedField name="Column10639"/>
      <deletedField name="Column10640"/>
      <deletedField name="Column10641"/>
      <deletedField name="Column10642"/>
      <deletedField name="Column10643"/>
      <deletedField name="Column10644"/>
      <deletedField name="Column10645"/>
      <deletedField name="Column10646"/>
      <deletedField name="Column10647"/>
      <deletedField name="Column10648"/>
      <deletedField name="Column10649"/>
      <deletedField name="Column10650"/>
      <deletedField name="Column10651"/>
      <deletedField name="Column10652"/>
      <deletedField name="Column10653"/>
      <deletedField name="Column10654"/>
      <deletedField name="Column10655"/>
      <deletedField name="Column10656"/>
      <deletedField name="Column10657"/>
      <deletedField name="Column10658"/>
      <deletedField name="Column10659"/>
      <deletedField name="Column10660"/>
      <deletedField name="Column10661"/>
      <deletedField name="Column10662"/>
      <deletedField name="Column10663"/>
      <deletedField name="Column10664"/>
      <deletedField name="Column10665"/>
      <deletedField name="Column10666"/>
      <deletedField name="Column10667"/>
      <deletedField name="Column10668"/>
      <deletedField name="Column10669"/>
      <deletedField name="Column10670"/>
      <deletedField name="Column10671"/>
      <deletedField name="Column10672"/>
      <deletedField name="Column10673"/>
      <deletedField name="Column10674"/>
      <deletedField name="Column10675"/>
      <deletedField name="Column10676"/>
      <deletedField name="Column10677"/>
      <deletedField name="Column10678"/>
      <deletedField name="Column10679"/>
      <deletedField name="Column10680"/>
      <deletedField name="Column10681"/>
      <deletedField name="Column10682"/>
      <deletedField name="Column10683"/>
      <deletedField name="Column10684"/>
      <deletedField name="Column10685"/>
      <deletedField name="Column10686"/>
      <deletedField name="Column10687"/>
      <deletedField name="Column10688"/>
      <deletedField name="Column10689"/>
      <deletedField name="Column10690"/>
      <deletedField name="Column10691"/>
      <deletedField name="Column10692"/>
      <deletedField name="Column10693"/>
      <deletedField name="Column10694"/>
      <deletedField name="Column10695"/>
      <deletedField name="Column10696"/>
      <deletedField name="Column10697"/>
      <deletedField name="Column10698"/>
      <deletedField name="Column10699"/>
      <deletedField name="Column10700"/>
      <deletedField name="Column10701"/>
      <deletedField name="Column10702"/>
      <deletedField name="Column10703"/>
      <deletedField name="Column10704"/>
      <deletedField name="Column10705"/>
      <deletedField name="Column10706"/>
      <deletedField name="Column10707"/>
      <deletedField name="Column10708"/>
      <deletedField name="Column10709"/>
      <deletedField name="Column10710"/>
      <deletedField name="Column10711"/>
      <deletedField name="Column10712"/>
      <deletedField name="Column10713"/>
      <deletedField name="Column10714"/>
      <deletedField name="Column10715"/>
      <deletedField name="Column10716"/>
      <deletedField name="Column10717"/>
      <deletedField name="Column10718"/>
      <deletedField name="Column10719"/>
      <deletedField name="Column10720"/>
      <deletedField name="Column10721"/>
      <deletedField name="Column10722"/>
      <deletedField name="Column10723"/>
      <deletedField name="Column10724"/>
      <deletedField name="Column10725"/>
      <deletedField name="Column10726"/>
      <deletedField name="Column10727"/>
      <deletedField name="Column10728"/>
      <deletedField name="Column10729"/>
      <deletedField name="Column10730"/>
      <deletedField name="Column10731"/>
      <deletedField name="Column10732"/>
      <deletedField name="Column10733"/>
      <deletedField name="Column10734"/>
      <deletedField name="Column10735"/>
      <deletedField name="Column10736"/>
      <deletedField name="Column10737"/>
      <deletedField name="Column10738"/>
      <deletedField name="Column10739"/>
      <deletedField name="Column10740"/>
      <deletedField name="Column10741"/>
      <deletedField name="Column10742"/>
      <deletedField name="Column10743"/>
      <deletedField name="Column10744"/>
      <deletedField name="Column10745"/>
      <deletedField name="Column10746"/>
      <deletedField name="Column10747"/>
      <deletedField name="Column10748"/>
      <deletedField name="Column10749"/>
      <deletedField name="Column10750"/>
      <deletedField name="Column10751"/>
      <deletedField name="Column10752"/>
      <deletedField name="Column10753"/>
      <deletedField name="Column10754"/>
      <deletedField name="Column10755"/>
      <deletedField name="Column10756"/>
      <deletedField name="Column10757"/>
      <deletedField name="Column10758"/>
      <deletedField name="Column10759"/>
      <deletedField name="Column10760"/>
      <deletedField name="Column10761"/>
      <deletedField name="Column10762"/>
      <deletedField name="Column10763"/>
      <deletedField name="Column10764"/>
      <deletedField name="Column10765"/>
      <deletedField name="Column10766"/>
      <deletedField name="Column10767"/>
      <deletedField name="Column10768"/>
      <deletedField name="Column10769"/>
      <deletedField name="Column10770"/>
      <deletedField name="Column10771"/>
      <deletedField name="Column10772"/>
      <deletedField name="Column10773"/>
      <deletedField name="Column10774"/>
      <deletedField name="Column10775"/>
      <deletedField name="Column10776"/>
      <deletedField name="Column10777"/>
      <deletedField name="Column10778"/>
      <deletedField name="Column10779"/>
      <deletedField name="Column10780"/>
      <deletedField name="Column10781"/>
      <deletedField name="Column10782"/>
      <deletedField name="Column10783"/>
      <deletedField name="Column10784"/>
      <deletedField name="Column10785"/>
      <deletedField name="Column10786"/>
      <deletedField name="Column10787"/>
      <deletedField name="Column10788"/>
      <deletedField name="Column10789"/>
      <deletedField name="Column10790"/>
      <deletedField name="Column10791"/>
      <deletedField name="Column10792"/>
      <deletedField name="Column10793"/>
      <deletedField name="Column10794"/>
      <deletedField name="Column10795"/>
      <deletedField name="Column10796"/>
      <deletedField name="Column10797"/>
      <deletedField name="Column10798"/>
      <deletedField name="Column10799"/>
      <deletedField name="Column10800"/>
      <deletedField name="Column10801"/>
      <deletedField name="Column10802"/>
      <deletedField name="Column10803"/>
      <deletedField name="Column10804"/>
      <deletedField name="Column10805"/>
      <deletedField name="Column10806"/>
      <deletedField name="Column10807"/>
      <deletedField name="Column10808"/>
      <deletedField name="Column10809"/>
      <deletedField name="Column10810"/>
      <deletedField name="Column10811"/>
      <deletedField name="Column10812"/>
      <deletedField name="Column10813"/>
      <deletedField name="Column10814"/>
      <deletedField name="Column10815"/>
      <deletedField name="Column10816"/>
      <deletedField name="Column10817"/>
      <deletedField name="Column10818"/>
      <deletedField name="Column10819"/>
      <deletedField name="Column10820"/>
      <deletedField name="Column10821"/>
      <deletedField name="Column10822"/>
      <deletedField name="Column10823"/>
      <deletedField name="Column10824"/>
      <deletedField name="Column10825"/>
      <deletedField name="Column10826"/>
      <deletedField name="Column10827"/>
      <deletedField name="Column10828"/>
      <deletedField name="Column10829"/>
      <deletedField name="Column10830"/>
      <deletedField name="Column10831"/>
      <deletedField name="Column10832"/>
      <deletedField name="Column10833"/>
      <deletedField name="Column10834"/>
      <deletedField name="Column10835"/>
      <deletedField name="Column10836"/>
      <deletedField name="Column10837"/>
      <deletedField name="Column10838"/>
      <deletedField name="Column10839"/>
      <deletedField name="Column10840"/>
      <deletedField name="Column10841"/>
      <deletedField name="Column10842"/>
      <deletedField name="Column10843"/>
      <deletedField name="Column10844"/>
      <deletedField name="Column10845"/>
      <deletedField name="Column10846"/>
      <deletedField name="Column10847"/>
      <deletedField name="Column10848"/>
      <deletedField name="Column10849"/>
      <deletedField name="Column10850"/>
      <deletedField name="Column10851"/>
      <deletedField name="Column10852"/>
      <deletedField name="Column10853"/>
      <deletedField name="Column10854"/>
      <deletedField name="Column10855"/>
      <deletedField name="Column10856"/>
      <deletedField name="Column10857"/>
      <deletedField name="Column10858"/>
      <deletedField name="Column10859"/>
      <deletedField name="Column10860"/>
      <deletedField name="Column10861"/>
      <deletedField name="Column10862"/>
      <deletedField name="Column10863"/>
      <deletedField name="Column10864"/>
      <deletedField name="Column10865"/>
      <deletedField name="Column10866"/>
      <deletedField name="Column10867"/>
      <deletedField name="Column10868"/>
      <deletedField name="Column10869"/>
      <deletedField name="Column10870"/>
      <deletedField name="Column10871"/>
      <deletedField name="Column10872"/>
      <deletedField name="Column10873"/>
      <deletedField name="Column10874"/>
      <deletedField name="Column10875"/>
      <deletedField name="Column10876"/>
      <deletedField name="Column10877"/>
      <deletedField name="Column10878"/>
      <deletedField name="Column10879"/>
      <deletedField name="Column10880"/>
      <deletedField name="Column10881"/>
      <deletedField name="Column10882"/>
      <deletedField name="Column10883"/>
      <deletedField name="Column10884"/>
      <deletedField name="Column10885"/>
      <deletedField name="Column10886"/>
      <deletedField name="Column10887"/>
      <deletedField name="Column10888"/>
      <deletedField name="Column10889"/>
      <deletedField name="Column10890"/>
      <deletedField name="Column10891"/>
      <deletedField name="Column10892"/>
      <deletedField name="Column10893"/>
      <deletedField name="Column10894"/>
      <deletedField name="Column10895"/>
      <deletedField name="Column10896"/>
      <deletedField name="Column10897"/>
      <deletedField name="Column10898"/>
      <deletedField name="Column10899"/>
      <deletedField name="Column10900"/>
      <deletedField name="Column10901"/>
      <deletedField name="Column10902"/>
      <deletedField name="Column10903"/>
      <deletedField name="Column10904"/>
      <deletedField name="Column10905"/>
      <deletedField name="Column10906"/>
      <deletedField name="Column10907"/>
      <deletedField name="Column10908"/>
      <deletedField name="Column10909"/>
      <deletedField name="Column10910"/>
      <deletedField name="Column10911"/>
      <deletedField name="Column10912"/>
      <deletedField name="Column10913"/>
      <deletedField name="Column10914"/>
      <deletedField name="Column10915"/>
      <deletedField name="Column10916"/>
      <deletedField name="Column10917"/>
      <deletedField name="Column10918"/>
      <deletedField name="Column10919"/>
      <deletedField name="Column10920"/>
      <deletedField name="Column10921"/>
      <deletedField name="Column10922"/>
      <deletedField name="Column10923"/>
      <deletedField name="Column10924"/>
      <deletedField name="Column10925"/>
      <deletedField name="Column10926"/>
      <deletedField name="Column10927"/>
      <deletedField name="Column10928"/>
      <deletedField name="Column10929"/>
      <deletedField name="Column10930"/>
      <deletedField name="Column10931"/>
      <deletedField name="Column10932"/>
      <deletedField name="Column10933"/>
      <deletedField name="Column10934"/>
      <deletedField name="Column10935"/>
      <deletedField name="Column10936"/>
      <deletedField name="Column10937"/>
      <deletedField name="Column10938"/>
      <deletedField name="Column10939"/>
      <deletedField name="Column10940"/>
      <deletedField name="Column10941"/>
      <deletedField name="Column10942"/>
      <deletedField name="Column10943"/>
      <deletedField name="Column10944"/>
      <deletedField name="Column10945"/>
      <deletedField name="Column10946"/>
      <deletedField name="Column10947"/>
      <deletedField name="Column10948"/>
      <deletedField name="Column10949"/>
      <deletedField name="Column10950"/>
      <deletedField name="Column10951"/>
      <deletedField name="Column10952"/>
      <deletedField name="Column10953"/>
      <deletedField name="Column10954"/>
      <deletedField name="Column10955"/>
      <deletedField name="Column10956"/>
      <deletedField name="Column10957"/>
      <deletedField name="Column10958"/>
      <deletedField name="Column10959"/>
      <deletedField name="Column10960"/>
      <deletedField name="Column10961"/>
      <deletedField name="Column10962"/>
      <deletedField name="Column10963"/>
      <deletedField name="Column10964"/>
      <deletedField name="Column10965"/>
      <deletedField name="Column10966"/>
      <deletedField name="Column10967"/>
      <deletedField name="Column10968"/>
      <deletedField name="Column10969"/>
      <deletedField name="Column10970"/>
      <deletedField name="Column10971"/>
      <deletedField name="Column10972"/>
      <deletedField name="Column10973"/>
      <deletedField name="Column10974"/>
      <deletedField name="Column10975"/>
      <deletedField name="Column10976"/>
      <deletedField name="Column10977"/>
      <deletedField name="Column10978"/>
      <deletedField name="Column10979"/>
      <deletedField name="Column10980"/>
      <deletedField name="Column10981"/>
      <deletedField name="Column10982"/>
      <deletedField name="Column10983"/>
      <deletedField name="Column10984"/>
      <deletedField name="Column10985"/>
      <deletedField name="Column10986"/>
      <deletedField name="Column10987"/>
      <deletedField name="Column10988"/>
      <deletedField name="Column10989"/>
      <deletedField name="Column10990"/>
      <deletedField name="Column10991"/>
      <deletedField name="Column10992"/>
      <deletedField name="Column10993"/>
      <deletedField name="Column10994"/>
      <deletedField name="Column10995"/>
      <deletedField name="Column10996"/>
      <deletedField name="Column10997"/>
      <deletedField name="Column10998"/>
      <deletedField name="Column10999"/>
      <deletedField name="Column11000"/>
      <deletedField name="Column11001"/>
      <deletedField name="Column11002"/>
      <deletedField name="Column11003"/>
      <deletedField name="Column11004"/>
      <deletedField name="Column11005"/>
      <deletedField name="Column11006"/>
      <deletedField name="Column11007"/>
      <deletedField name="Column11008"/>
      <deletedField name="Column11009"/>
      <deletedField name="Column11010"/>
      <deletedField name="Column11011"/>
      <deletedField name="Column11012"/>
      <deletedField name="Column11013"/>
      <deletedField name="Column11014"/>
      <deletedField name="Column11015"/>
      <deletedField name="Column11016"/>
      <deletedField name="Column11017"/>
      <deletedField name="Column11018"/>
      <deletedField name="Column11019"/>
      <deletedField name="Column11020"/>
      <deletedField name="Column11021"/>
      <deletedField name="Column11022"/>
      <deletedField name="Column11023"/>
      <deletedField name="Column11024"/>
      <deletedField name="Column11025"/>
      <deletedField name="Column11026"/>
      <deletedField name="Column11027"/>
      <deletedField name="Column11028"/>
      <deletedField name="Column11029"/>
      <deletedField name="Column11030"/>
      <deletedField name="Column11031"/>
      <deletedField name="Column11032"/>
      <deletedField name="Column11033"/>
      <deletedField name="Column11034"/>
      <deletedField name="Column11035"/>
      <deletedField name="Column11036"/>
      <deletedField name="Column11037"/>
      <deletedField name="Column11038"/>
      <deletedField name="Column11039"/>
      <deletedField name="Column11040"/>
      <deletedField name="Column11041"/>
      <deletedField name="Column11042"/>
      <deletedField name="Column11043"/>
      <deletedField name="Column11044"/>
      <deletedField name="Column11045"/>
      <deletedField name="Column11046"/>
      <deletedField name="Column11047"/>
      <deletedField name="Column11048"/>
      <deletedField name="Column11049"/>
      <deletedField name="Column11050"/>
      <deletedField name="Column11051"/>
      <deletedField name="Column11052"/>
      <deletedField name="Column11053"/>
      <deletedField name="Column11054"/>
      <deletedField name="Column11055"/>
      <deletedField name="Column11056"/>
      <deletedField name="Column11057"/>
      <deletedField name="Column11058"/>
      <deletedField name="Column11059"/>
      <deletedField name="Column11060"/>
      <deletedField name="Column11061"/>
      <deletedField name="Column11062"/>
      <deletedField name="Column11063"/>
      <deletedField name="Column11064"/>
      <deletedField name="Column11065"/>
      <deletedField name="Column11066"/>
      <deletedField name="Column11067"/>
      <deletedField name="Column11068"/>
      <deletedField name="Column11069"/>
      <deletedField name="Column11070"/>
      <deletedField name="Column11071"/>
      <deletedField name="Column11072"/>
      <deletedField name="Column11073"/>
      <deletedField name="Column11074"/>
      <deletedField name="Column11075"/>
      <deletedField name="Column11076"/>
      <deletedField name="Column11077"/>
      <deletedField name="Column11078"/>
      <deletedField name="Column11079"/>
      <deletedField name="Column11080"/>
      <deletedField name="Column11081"/>
      <deletedField name="Column11082"/>
      <deletedField name="Column11083"/>
      <deletedField name="Column11084"/>
      <deletedField name="Column11085"/>
      <deletedField name="Column11086"/>
      <deletedField name="Column11087"/>
      <deletedField name="Column11088"/>
      <deletedField name="Column11089"/>
      <deletedField name="Column11090"/>
      <deletedField name="Column11091"/>
      <deletedField name="Column11092"/>
      <deletedField name="Column11093"/>
      <deletedField name="Column11094"/>
      <deletedField name="Column11095"/>
      <deletedField name="Column11096"/>
      <deletedField name="Column11097"/>
      <deletedField name="Column11098"/>
      <deletedField name="Column11099"/>
      <deletedField name="Column11100"/>
      <deletedField name="Column11101"/>
      <deletedField name="Column11102"/>
      <deletedField name="Column11103"/>
      <deletedField name="Column11104"/>
      <deletedField name="Column11105"/>
      <deletedField name="Column11106"/>
      <deletedField name="Column11107"/>
      <deletedField name="Column11108"/>
      <deletedField name="Column11109"/>
      <deletedField name="Column11110"/>
      <deletedField name="Column11111"/>
      <deletedField name="Column11112"/>
      <deletedField name="Column11113"/>
      <deletedField name="Column11114"/>
      <deletedField name="Column11115"/>
      <deletedField name="Column11116"/>
      <deletedField name="Column11117"/>
      <deletedField name="Column11118"/>
      <deletedField name="Column11119"/>
      <deletedField name="Column11120"/>
      <deletedField name="Column11121"/>
      <deletedField name="Column11122"/>
      <deletedField name="Column11123"/>
      <deletedField name="Column11124"/>
      <deletedField name="Column11125"/>
      <deletedField name="Column11126"/>
      <deletedField name="Column11127"/>
      <deletedField name="Column11128"/>
      <deletedField name="Column11129"/>
      <deletedField name="Column11130"/>
      <deletedField name="Column11131"/>
      <deletedField name="Column11132"/>
      <deletedField name="Column11133"/>
      <deletedField name="Column11134"/>
      <deletedField name="Column11135"/>
      <deletedField name="Column11136"/>
      <deletedField name="Column11137"/>
      <deletedField name="Column11138"/>
      <deletedField name="Column11139"/>
      <deletedField name="Column11140"/>
      <deletedField name="Column11141"/>
      <deletedField name="Column11142"/>
      <deletedField name="Column11143"/>
      <deletedField name="Column11144"/>
      <deletedField name="Column11145"/>
      <deletedField name="Column11146"/>
      <deletedField name="Column11147"/>
      <deletedField name="Column11148"/>
      <deletedField name="Column11149"/>
      <deletedField name="Column11150"/>
      <deletedField name="Column11151"/>
      <deletedField name="Column11152"/>
      <deletedField name="Column11153"/>
      <deletedField name="Column11154"/>
      <deletedField name="Column11155"/>
      <deletedField name="Column11156"/>
      <deletedField name="Column11157"/>
      <deletedField name="Column11158"/>
      <deletedField name="Column11159"/>
      <deletedField name="Column11160"/>
      <deletedField name="Column11161"/>
      <deletedField name="Column11162"/>
      <deletedField name="Column11163"/>
      <deletedField name="Column11164"/>
      <deletedField name="Column11165"/>
      <deletedField name="Column11166"/>
      <deletedField name="Column11167"/>
      <deletedField name="Column11168"/>
      <deletedField name="Column11169"/>
      <deletedField name="Column11170"/>
      <deletedField name="Column11171"/>
      <deletedField name="Column11172"/>
      <deletedField name="Column11173"/>
      <deletedField name="Column11174"/>
      <deletedField name="Column11175"/>
      <deletedField name="Column11176"/>
      <deletedField name="Column11177"/>
      <deletedField name="Column11178"/>
      <deletedField name="Column11179"/>
      <deletedField name="Column11180"/>
      <deletedField name="Column11181"/>
      <deletedField name="Column11182"/>
      <deletedField name="Column11183"/>
      <deletedField name="Column11184"/>
      <deletedField name="Column11185"/>
      <deletedField name="Column11186"/>
      <deletedField name="Column11187"/>
      <deletedField name="Column11188"/>
      <deletedField name="Column11189"/>
      <deletedField name="Column11190"/>
      <deletedField name="Column11191"/>
      <deletedField name="Column11192"/>
      <deletedField name="Column11193"/>
      <deletedField name="Column11194"/>
      <deletedField name="Column11195"/>
      <deletedField name="Column11196"/>
      <deletedField name="Column11197"/>
      <deletedField name="Column11198"/>
      <deletedField name="Column11199"/>
      <deletedField name="Column11200"/>
      <deletedField name="Column11201"/>
      <deletedField name="Column11202"/>
      <deletedField name="Column11203"/>
      <deletedField name="Column11204"/>
      <deletedField name="Column11205"/>
      <deletedField name="Column11206"/>
      <deletedField name="Column11207"/>
      <deletedField name="Column11208"/>
      <deletedField name="Column11209"/>
      <deletedField name="Column11210"/>
      <deletedField name="Column11211"/>
      <deletedField name="Column11212"/>
      <deletedField name="Column11213"/>
      <deletedField name="Column11214"/>
      <deletedField name="Column11215"/>
      <deletedField name="Column11216"/>
      <deletedField name="Column11217"/>
      <deletedField name="Column11218"/>
      <deletedField name="Column11219"/>
      <deletedField name="Column11220"/>
      <deletedField name="Column11221"/>
      <deletedField name="Column11222"/>
      <deletedField name="Column11223"/>
      <deletedField name="Column11224"/>
      <deletedField name="Column11225"/>
      <deletedField name="Column11226"/>
      <deletedField name="Column11227"/>
      <deletedField name="Column11228"/>
      <deletedField name="Column11229"/>
      <deletedField name="Column11230"/>
      <deletedField name="Column11231"/>
      <deletedField name="Column11232"/>
      <deletedField name="Column11233"/>
      <deletedField name="Column11234"/>
      <deletedField name="Column11235"/>
      <deletedField name="Column11236"/>
      <deletedField name="Column11237"/>
      <deletedField name="Column11238"/>
      <deletedField name="Column11239"/>
      <deletedField name="Column11240"/>
      <deletedField name="Column11241"/>
      <deletedField name="Column11242"/>
      <deletedField name="Column11243"/>
      <deletedField name="Column11244"/>
      <deletedField name="Column11245"/>
      <deletedField name="Column11246"/>
      <deletedField name="Column11247"/>
      <deletedField name="Column11248"/>
      <deletedField name="Column11249"/>
      <deletedField name="Column11250"/>
      <deletedField name="Column11251"/>
      <deletedField name="Column11252"/>
      <deletedField name="Column11253"/>
      <deletedField name="Column11254"/>
      <deletedField name="Column11255"/>
      <deletedField name="Column11256"/>
      <deletedField name="Column11257"/>
      <deletedField name="Column11258"/>
      <deletedField name="Column11259"/>
      <deletedField name="Column11260"/>
      <deletedField name="Column11261"/>
      <deletedField name="Column11262"/>
      <deletedField name="Column11263"/>
      <deletedField name="Column11264"/>
      <deletedField name="Column11265"/>
      <deletedField name="Column11266"/>
      <deletedField name="Column11267"/>
      <deletedField name="Column11268"/>
      <deletedField name="Column11269"/>
      <deletedField name="Column11270"/>
      <deletedField name="Column11271"/>
      <deletedField name="Column11272"/>
      <deletedField name="Column11273"/>
      <deletedField name="Column11274"/>
      <deletedField name="Column11275"/>
      <deletedField name="Column11276"/>
      <deletedField name="Column11277"/>
      <deletedField name="Column11278"/>
      <deletedField name="Column11279"/>
      <deletedField name="Column11280"/>
      <deletedField name="Column11281"/>
      <deletedField name="Column11282"/>
      <deletedField name="Column11283"/>
      <deletedField name="Column11284"/>
      <deletedField name="Column11285"/>
      <deletedField name="Column11286"/>
      <deletedField name="Column11287"/>
      <deletedField name="Column11288"/>
      <deletedField name="Column11289"/>
      <deletedField name="Column11290"/>
      <deletedField name="Column11291"/>
      <deletedField name="Column11292"/>
      <deletedField name="Column11293"/>
      <deletedField name="Column11294"/>
      <deletedField name="Column11295"/>
      <deletedField name="Column11296"/>
      <deletedField name="Column11297"/>
      <deletedField name="Column11298"/>
      <deletedField name="Column11299"/>
      <deletedField name="Column11300"/>
      <deletedField name="Column11301"/>
      <deletedField name="Column11302"/>
      <deletedField name="Column11303"/>
      <deletedField name="Column11304"/>
      <deletedField name="Column11305"/>
      <deletedField name="Column11306"/>
      <deletedField name="Column11307"/>
      <deletedField name="Column11308"/>
      <deletedField name="Column11309"/>
      <deletedField name="Column11310"/>
      <deletedField name="Column11311"/>
      <deletedField name="Column11312"/>
      <deletedField name="Column11313"/>
      <deletedField name="Column11314"/>
      <deletedField name="Column11315"/>
      <deletedField name="Column11316"/>
      <deletedField name="Column11317"/>
      <deletedField name="Column11318"/>
      <deletedField name="Column11319"/>
      <deletedField name="Column11320"/>
      <deletedField name="Column11321"/>
      <deletedField name="Column11322"/>
      <deletedField name="Column11323"/>
      <deletedField name="Column11324"/>
      <deletedField name="Column11325"/>
      <deletedField name="Column11326"/>
      <deletedField name="Column11327"/>
      <deletedField name="Column11328"/>
      <deletedField name="Column11329"/>
      <deletedField name="Column11330"/>
      <deletedField name="Column11331"/>
      <deletedField name="Column11332"/>
      <deletedField name="Column11333"/>
      <deletedField name="Column11334"/>
      <deletedField name="Column11335"/>
      <deletedField name="Column11336"/>
      <deletedField name="Column11337"/>
      <deletedField name="Column11338"/>
      <deletedField name="Column11339"/>
      <deletedField name="Column11340"/>
      <deletedField name="Column11341"/>
      <deletedField name="Column11342"/>
      <deletedField name="Column11343"/>
      <deletedField name="Column11344"/>
      <deletedField name="Column11345"/>
      <deletedField name="Column11346"/>
      <deletedField name="Column11347"/>
      <deletedField name="Column11348"/>
      <deletedField name="Column11349"/>
      <deletedField name="Column11350"/>
      <deletedField name="Column11351"/>
      <deletedField name="Column11352"/>
      <deletedField name="Column11353"/>
      <deletedField name="Column11354"/>
      <deletedField name="Column11355"/>
      <deletedField name="Column11356"/>
      <deletedField name="Column11357"/>
      <deletedField name="Column11358"/>
      <deletedField name="Column11359"/>
      <deletedField name="Column11360"/>
      <deletedField name="Column11361"/>
      <deletedField name="Column11362"/>
      <deletedField name="Column11363"/>
      <deletedField name="Column11364"/>
      <deletedField name="Column11365"/>
      <deletedField name="Column11366"/>
      <deletedField name="Column11367"/>
      <deletedField name="Column11368"/>
      <deletedField name="Column11369"/>
      <deletedField name="Column11370"/>
      <deletedField name="Column11371"/>
      <deletedField name="Column11372"/>
      <deletedField name="Column11373"/>
      <deletedField name="Column11374"/>
      <deletedField name="Column11375"/>
      <deletedField name="Column11376"/>
      <deletedField name="Column11377"/>
      <deletedField name="Column11378"/>
      <deletedField name="Column11379"/>
      <deletedField name="Column11380"/>
      <deletedField name="Column11381"/>
      <deletedField name="Column11382"/>
      <deletedField name="Column11383"/>
      <deletedField name="Column11384"/>
      <deletedField name="Column11385"/>
      <deletedField name="Column11386"/>
      <deletedField name="Column11387"/>
      <deletedField name="Column11388"/>
      <deletedField name="Column11389"/>
      <deletedField name="Column11390"/>
      <deletedField name="Column11391"/>
      <deletedField name="Column11392"/>
      <deletedField name="Column11393"/>
      <deletedField name="Column11394"/>
      <deletedField name="Column11395"/>
      <deletedField name="Column11396"/>
      <deletedField name="Column11397"/>
      <deletedField name="Column11398"/>
      <deletedField name="Column11399"/>
      <deletedField name="Column11400"/>
      <deletedField name="Column11401"/>
      <deletedField name="Column11402"/>
      <deletedField name="Column11403"/>
      <deletedField name="Column11404"/>
      <deletedField name="Column11405"/>
      <deletedField name="Column11406"/>
      <deletedField name="Column11407"/>
      <deletedField name="Column11408"/>
      <deletedField name="Column11409"/>
      <deletedField name="Column11410"/>
      <deletedField name="Column11411"/>
      <deletedField name="Column11412"/>
      <deletedField name="Column11413"/>
      <deletedField name="Column11414"/>
      <deletedField name="Column11415"/>
      <deletedField name="Column11416"/>
      <deletedField name="Column11417"/>
      <deletedField name="Column11418"/>
      <deletedField name="Column11419"/>
      <deletedField name="Column11420"/>
      <deletedField name="Column11421"/>
      <deletedField name="Column11422"/>
      <deletedField name="Column11423"/>
      <deletedField name="Column11424"/>
      <deletedField name="Column11425"/>
      <deletedField name="Column11426"/>
      <deletedField name="Column11427"/>
      <deletedField name="Column11428"/>
      <deletedField name="Column11429"/>
      <deletedField name="Column11430"/>
      <deletedField name="Column11431"/>
      <deletedField name="Column11432"/>
      <deletedField name="Column11433"/>
      <deletedField name="Column11434"/>
      <deletedField name="Column11435"/>
      <deletedField name="Column11436"/>
      <deletedField name="Column11437"/>
      <deletedField name="Column11438"/>
      <deletedField name="Column11439"/>
      <deletedField name="Column11440"/>
      <deletedField name="Column11441"/>
      <deletedField name="Column11442"/>
      <deletedField name="Column11443"/>
      <deletedField name="Column11444"/>
      <deletedField name="Column11445"/>
      <deletedField name="Column11446"/>
      <deletedField name="Column11447"/>
      <deletedField name="Column11448"/>
      <deletedField name="Column11449"/>
      <deletedField name="Column11450"/>
      <deletedField name="Column11451"/>
      <deletedField name="Column11452"/>
      <deletedField name="Column11453"/>
      <deletedField name="Column11454"/>
      <deletedField name="Column11455"/>
      <deletedField name="Column11456"/>
      <deletedField name="Column11457"/>
      <deletedField name="Column11458"/>
      <deletedField name="Column11459"/>
      <deletedField name="Column11460"/>
      <deletedField name="Column11461"/>
      <deletedField name="Column11462"/>
      <deletedField name="Column11463"/>
      <deletedField name="Column11464"/>
      <deletedField name="Column11465"/>
      <deletedField name="Column11466"/>
      <deletedField name="Column11467"/>
      <deletedField name="Column11468"/>
      <deletedField name="Column11469"/>
      <deletedField name="Column11470"/>
      <deletedField name="Column11471"/>
      <deletedField name="Column11472"/>
      <deletedField name="Column11473"/>
      <deletedField name="Column11474"/>
      <deletedField name="Column11475"/>
      <deletedField name="Column11476"/>
      <deletedField name="Column11477"/>
      <deletedField name="Column11478"/>
      <deletedField name="Column11479"/>
      <deletedField name="Column11480"/>
      <deletedField name="Column11481"/>
      <deletedField name="Column11482"/>
      <deletedField name="Column11483"/>
      <deletedField name="Column11484"/>
      <deletedField name="Column11485"/>
      <deletedField name="Column11486"/>
      <deletedField name="Column11487"/>
      <deletedField name="Column11488"/>
      <deletedField name="Column11489"/>
      <deletedField name="Column11490"/>
      <deletedField name="Column11491"/>
      <deletedField name="Column11492"/>
      <deletedField name="Column11493"/>
      <deletedField name="Column11494"/>
      <deletedField name="Column11495"/>
      <deletedField name="Column11496"/>
      <deletedField name="Column11497"/>
      <deletedField name="Column11498"/>
      <deletedField name="Column11499"/>
      <deletedField name="Column11500"/>
      <deletedField name="Column11501"/>
      <deletedField name="Column11502"/>
      <deletedField name="Column11503"/>
      <deletedField name="Column11504"/>
      <deletedField name="Column11505"/>
      <deletedField name="Column11506"/>
      <deletedField name="Column11507"/>
      <deletedField name="Column11508"/>
      <deletedField name="Column11509"/>
      <deletedField name="Column11510"/>
      <deletedField name="Column11511"/>
      <deletedField name="Column11512"/>
      <deletedField name="Column11513"/>
      <deletedField name="Column11514"/>
      <deletedField name="Column11515"/>
      <deletedField name="Column11516"/>
      <deletedField name="Column11517"/>
      <deletedField name="Column11518"/>
      <deletedField name="Column11519"/>
      <deletedField name="Column11520"/>
      <deletedField name="Column11521"/>
      <deletedField name="Column11522"/>
      <deletedField name="Column11523"/>
      <deletedField name="Column11524"/>
      <deletedField name="Column11525"/>
      <deletedField name="Column11526"/>
      <deletedField name="Column11527"/>
      <deletedField name="Column11528"/>
      <deletedField name="Column11529"/>
      <deletedField name="Column11530"/>
      <deletedField name="Column11531"/>
      <deletedField name="Column11532"/>
      <deletedField name="Column11533"/>
      <deletedField name="Column11534"/>
      <deletedField name="Column11535"/>
      <deletedField name="Column11536"/>
      <deletedField name="Column11537"/>
      <deletedField name="Column11538"/>
      <deletedField name="Column11539"/>
      <deletedField name="Column11540"/>
      <deletedField name="Column11541"/>
      <deletedField name="Column11542"/>
      <deletedField name="Column11543"/>
      <deletedField name="Column11544"/>
      <deletedField name="Column11545"/>
      <deletedField name="Column11546"/>
      <deletedField name="Column11547"/>
      <deletedField name="Column11548"/>
      <deletedField name="Column11549"/>
      <deletedField name="Column11550"/>
      <deletedField name="Column11551"/>
      <deletedField name="Column11552"/>
      <deletedField name="Column11553"/>
      <deletedField name="Column11554"/>
      <deletedField name="Column11555"/>
      <deletedField name="Column11556"/>
      <deletedField name="Column11557"/>
      <deletedField name="Column11558"/>
      <deletedField name="Column11559"/>
      <deletedField name="Column11560"/>
      <deletedField name="Column11561"/>
      <deletedField name="Column11562"/>
      <deletedField name="Column11563"/>
      <deletedField name="Column11564"/>
      <deletedField name="Column11565"/>
      <deletedField name="Column11566"/>
      <deletedField name="Column11567"/>
      <deletedField name="Column11568"/>
      <deletedField name="Column11569"/>
      <deletedField name="Column11570"/>
      <deletedField name="Column11571"/>
      <deletedField name="Column11572"/>
      <deletedField name="Column11573"/>
      <deletedField name="Column11574"/>
      <deletedField name="Column11575"/>
      <deletedField name="Column11576"/>
      <deletedField name="Column11577"/>
      <deletedField name="Column11578"/>
      <deletedField name="Column11579"/>
      <deletedField name="Column11580"/>
      <deletedField name="Column11581"/>
      <deletedField name="Column11582"/>
      <deletedField name="Column11583"/>
      <deletedField name="Column11584"/>
      <deletedField name="Column11585"/>
      <deletedField name="Column11586"/>
      <deletedField name="Column11587"/>
      <deletedField name="Column11588"/>
      <deletedField name="Column11589"/>
      <deletedField name="Column11590"/>
      <deletedField name="Column11591"/>
      <deletedField name="Column11592"/>
      <deletedField name="Column11593"/>
      <deletedField name="Column11594"/>
      <deletedField name="Column11595"/>
      <deletedField name="Column11596"/>
      <deletedField name="Column11597"/>
      <deletedField name="Column11598"/>
      <deletedField name="Column11599"/>
      <deletedField name="Column11600"/>
      <deletedField name="Column11601"/>
      <deletedField name="Column11602"/>
      <deletedField name="Column11603"/>
      <deletedField name="Column11604"/>
      <deletedField name="Column11605"/>
      <deletedField name="Column11606"/>
      <deletedField name="Column11607"/>
      <deletedField name="Column11608"/>
      <deletedField name="Column11609"/>
      <deletedField name="Column11610"/>
      <deletedField name="Column11611"/>
      <deletedField name="Column11612"/>
      <deletedField name="Column11613"/>
      <deletedField name="Column11614"/>
      <deletedField name="Column11615"/>
      <deletedField name="Column11616"/>
      <deletedField name="Column11617"/>
      <deletedField name="Column11618"/>
      <deletedField name="Column11619"/>
      <deletedField name="Column11620"/>
      <deletedField name="Column11621"/>
      <deletedField name="Column11622"/>
      <deletedField name="Column11623"/>
      <deletedField name="Column11624"/>
      <deletedField name="Column11625"/>
      <deletedField name="Column11626"/>
      <deletedField name="Column11627"/>
      <deletedField name="Column11628"/>
      <deletedField name="Column11629"/>
      <deletedField name="Column11630"/>
      <deletedField name="Column11631"/>
      <deletedField name="Column11632"/>
      <deletedField name="Column11633"/>
      <deletedField name="Column11634"/>
      <deletedField name="Column11635"/>
      <deletedField name="Column11636"/>
      <deletedField name="Column11637"/>
      <deletedField name="Column11638"/>
      <deletedField name="Column11639"/>
      <deletedField name="Column11640"/>
      <deletedField name="Column11641"/>
      <deletedField name="Column11642"/>
      <deletedField name="Column11643"/>
      <deletedField name="Column11644"/>
      <deletedField name="Column11645"/>
      <deletedField name="Column11646"/>
      <deletedField name="Column11647"/>
      <deletedField name="Column11648"/>
      <deletedField name="Column11649"/>
      <deletedField name="Column11650"/>
      <deletedField name="Column11651"/>
      <deletedField name="Column11652"/>
      <deletedField name="Column11653"/>
      <deletedField name="Column11654"/>
      <deletedField name="Column11655"/>
      <deletedField name="Column11656"/>
      <deletedField name="Column11657"/>
      <deletedField name="Column11658"/>
      <deletedField name="Column11659"/>
      <deletedField name="Column11660"/>
      <deletedField name="Column11661"/>
      <deletedField name="Column11662"/>
      <deletedField name="Column11663"/>
      <deletedField name="Column11664"/>
      <deletedField name="Column11665"/>
      <deletedField name="Column11666"/>
      <deletedField name="Column11667"/>
      <deletedField name="Column11668"/>
      <deletedField name="Column11669"/>
      <deletedField name="Column11670"/>
      <deletedField name="Column11671"/>
      <deletedField name="Column11672"/>
      <deletedField name="Column11673"/>
      <deletedField name="Column11674"/>
      <deletedField name="Column11675"/>
      <deletedField name="Column11676"/>
      <deletedField name="Column11677"/>
      <deletedField name="Column11678"/>
      <deletedField name="Column11679"/>
      <deletedField name="Column11680"/>
      <deletedField name="Column11681"/>
      <deletedField name="Column11682"/>
      <deletedField name="Column11683"/>
      <deletedField name="Column11684"/>
      <deletedField name="Column11685"/>
      <deletedField name="Column11686"/>
      <deletedField name="Column11687"/>
      <deletedField name="Column11688"/>
      <deletedField name="Column11689"/>
      <deletedField name="Column11690"/>
      <deletedField name="Column11691"/>
      <deletedField name="Column11692"/>
      <deletedField name="Column11693"/>
      <deletedField name="Column11694"/>
      <deletedField name="Column11695"/>
      <deletedField name="Column11696"/>
      <deletedField name="Column11697"/>
      <deletedField name="Column11698"/>
      <deletedField name="Column11699"/>
      <deletedField name="Column11700"/>
      <deletedField name="Column11701"/>
      <deletedField name="Column11702"/>
      <deletedField name="Column11703"/>
      <deletedField name="Column11704"/>
      <deletedField name="Column11705"/>
      <deletedField name="Column11706"/>
      <deletedField name="Column11707"/>
      <deletedField name="Column11708"/>
      <deletedField name="Column11709"/>
      <deletedField name="Column11710"/>
      <deletedField name="Column11711"/>
      <deletedField name="Column11712"/>
      <deletedField name="Column11713"/>
      <deletedField name="Column11714"/>
      <deletedField name="Column11715"/>
      <deletedField name="Column11716"/>
      <deletedField name="Column11717"/>
      <deletedField name="Column11718"/>
      <deletedField name="Column11719"/>
      <deletedField name="Column11720"/>
      <deletedField name="Column11721"/>
      <deletedField name="Column11722"/>
      <deletedField name="Column11723"/>
      <deletedField name="Column11724"/>
      <deletedField name="Column11725"/>
      <deletedField name="Column11726"/>
      <deletedField name="Column11727"/>
      <deletedField name="Column11728"/>
      <deletedField name="Column11729"/>
      <deletedField name="Column11730"/>
      <deletedField name="Column11731"/>
      <deletedField name="Column11732"/>
      <deletedField name="Column11733"/>
      <deletedField name="Column11734"/>
      <deletedField name="Column11735"/>
      <deletedField name="Column11736"/>
      <deletedField name="Column11737"/>
      <deletedField name="Column11738"/>
      <deletedField name="Column11739"/>
      <deletedField name="Column11740"/>
      <deletedField name="Column11741"/>
      <deletedField name="Column11742"/>
      <deletedField name="Column11743"/>
      <deletedField name="Column11744"/>
      <deletedField name="Column11745"/>
      <deletedField name="Column11746"/>
      <deletedField name="Column11747"/>
      <deletedField name="Column11748"/>
      <deletedField name="Column11749"/>
      <deletedField name="Column11750"/>
      <deletedField name="Column11751"/>
      <deletedField name="Column11752"/>
      <deletedField name="Column11753"/>
      <deletedField name="Column11754"/>
      <deletedField name="Column11755"/>
      <deletedField name="Column11756"/>
      <deletedField name="Column11757"/>
      <deletedField name="Column11758"/>
      <deletedField name="Column11759"/>
      <deletedField name="Column11760"/>
      <deletedField name="Column11761"/>
      <deletedField name="Column11762"/>
      <deletedField name="Column11763"/>
      <deletedField name="Column11764"/>
      <deletedField name="Column11765"/>
      <deletedField name="Column11766"/>
      <deletedField name="Column11767"/>
      <deletedField name="Column11768"/>
      <deletedField name="Column11769"/>
      <deletedField name="Column11770"/>
      <deletedField name="Column11771"/>
      <deletedField name="Column11772"/>
      <deletedField name="Column11773"/>
      <deletedField name="Column11774"/>
      <deletedField name="Column11775"/>
      <deletedField name="Column11776"/>
      <deletedField name="Column11777"/>
      <deletedField name="Column11778"/>
      <deletedField name="Column11779"/>
      <deletedField name="Column11780"/>
      <deletedField name="Column11781"/>
      <deletedField name="Column11782"/>
      <deletedField name="Column11783"/>
      <deletedField name="Column11784"/>
      <deletedField name="Column11785"/>
      <deletedField name="Column11786"/>
      <deletedField name="Column11787"/>
      <deletedField name="Column11788"/>
      <deletedField name="Column11789"/>
      <deletedField name="Column11790"/>
      <deletedField name="Column11791"/>
      <deletedField name="Column11792"/>
      <deletedField name="Column11793"/>
      <deletedField name="Column11794"/>
      <deletedField name="Column11795"/>
      <deletedField name="Column11796"/>
      <deletedField name="Column11797"/>
      <deletedField name="Column11798"/>
      <deletedField name="Column11799"/>
      <deletedField name="Column11800"/>
      <deletedField name="Column11801"/>
      <deletedField name="Column11802"/>
      <deletedField name="Column11803"/>
      <deletedField name="Column11804"/>
      <deletedField name="Column11805"/>
      <deletedField name="Column11806"/>
      <deletedField name="Column11807"/>
      <deletedField name="Column11808"/>
      <deletedField name="Column11809"/>
      <deletedField name="Column11810"/>
      <deletedField name="Column11811"/>
      <deletedField name="Column11812"/>
      <deletedField name="Column11813"/>
      <deletedField name="Column11814"/>
      <deletedField name="Column11815"/>
      <deletedField name="Column11816"/>
      <deletedField name="Column11817"/>
      <deletedField name="Column11818"/>
      <deletedField name="Column11819"/>
      <deletedField name="Column11820"/>
      <deletedField name="Column11821"/>
      <deletedField name="Column11822"/>
      <deletedField name="Column11823"/>
      <deletedField name="Column11824"/>
      <deletedField name="Column11825"/>
      <deletedField name="Column11826"/>
      <deletedField name="Column11827"/>
      <deletedField name="Column11828"/>
      <deletedField name="Column11829"/>
      <deletedField name="Column11830"/>
      <deletedField name="Column11831"/>
      <deletedField name="Column11832"/>
      <deletedField name="Column11833"/>
      <deletedField name="Column11834"/>
      <deletedField name="Column11835"/>
      <deletedField name="Column11836"/>
      <deletedField name="Column11837"/>
      <deletedField name="Column11838"/>
      <deletedField name="Column11839"/>
      <deletedField name="Column11840"/>
      <deletedField name="Column11841"/>
      <deletedField name="Column11842"/>
      <deletedField name="Column11843"/>
      <deletedField name="Column11844"/>
      <deletedField name="Column11845"/>
      <deletedField name="Column11846"/>
      <deletedField name="Column11847"/>
      <deletedField name="Column11848"/>
      <deletedField name="Column11849"/>
      <deletedField name="Column11850"/>
      <deletedField name="Column11851"/>
      <deletedField name="Column11852"/>
      <deletedField name="Column11853"/>
      <deletedField name="Column11854"/>
      <deletedField name="Column11855"/>
      <deletedField name="Column11856"/>
      <deletedField name="Column11857"/>
      <deletedField name="Column11858"/>
      <deletedField name="Column11859"/>
      <deletedField name="Column11860"/>
      <deletedField name="Column11861"/>
      <deletedField name="Column11862"/>
      <deletedField name="Column11863"/>
      <deletedField name="Column11864"/>
      <deletedField name="Column11865"/>
      <deletedField name="Column11866"/>
      <deletedField name="Column11867"/>
      <deletedField name="Column11868"/>
      <deletedField name="Column11869"/>
      <deletedField name="Column11870"/>
      <deletedField name="Column11871"/>
      <deletedField name="Column11872"/>
      <deletedField name="Column11873"/>
      <deletedField name="Column11874"/>
      <deletedField name="Column11875"/>
      <deletedField name="Column11876"/>
      <deletedField name="Column11877"/>
      <deletedField name="Column11878"/>
      <deletedField name="Column11879"/>
      <deletedField name="Column11880"/>
      <deletedField name="Column11881"/>
      <deletedField name="Column11882"/>
      <deletedField name="Column11883"/>
      <deletedField name="Column11884"/>
      <deletedField name="Column11885"/>
      <deletedField name="Column11886"/>
      <deletedField name="Column11887"/>
      <deletedField name="Column11888"/>
      <deletedField name="Column11889"/>
      <deletedField name="Column11890"/>
      <deletedField name="Column11891"/>
      <deletedField name="Column11892"/>
      <deletedField name="Column11893"/>
      <deletedField name="Column11894"/>
      <deletedField name="Column11895"/>
      <deletedField name="Column11896"/>
      <deletedField name="Column11897"/>
      <deletedField name="Column11898"/>
      <deletedField name="Column11899"/>
      <deletedField name="Column11900"/>
      <deletedField name="Column11901"/>
      <deletedField name="Column11902"/>
      <deletedField name="Column11903"/>
      <deletedField name="Column11904"/>
      <deletedField name="Column11905"/>
      <deletedField name="Column11906"/>
      <deletedField name="Column11907"/>
      <deletedField name="Column11908"/>
      <deletedField name="Column11909"/>
      <deletedField name="Column11910"/>
      <deletedField name="Column11911"/>
      <deletedField name="Column11912"/>
      <deletedField name="Column11913"/>
      <deletedField name="Column11914"/>
      <deletedField name="Column11915"/>
      <deletedField name="Column11916"/>
      <deletedField name="Column11917"/>
      <deletedField name="Column11918"/>
      <deletedField name="Column11919"/>
      <deletedField name="Column11920"/>
      <deletedField name="Column11921"/>
      <deletedField name="Column11922"/>
      <deletedField name="Column11923"/>
      <deletedField name="Column11924"/>
      <deletedField name="Column11925"/>
      <deletedField name="Column11926"/>
      <deletedField name="Column11927"/>
      <deletedField name="Column11928"/>
      <deletedField name="Column11929"/>
      <deletedField name="Column11930"/>
      <deletedField name="Column11931"/>
      <deletedField name="Column11932"/>
      <deletedField name="Column11933"/>
      <deletedField name="Column11934"/>
      <deletedField name="Column11935"/>
      <deletedField name="Column11936"/>
      <deletedField name="Column11937"/>
      <deletedField name="Column11938"/>
      <deletedField name="Column11939"/>
      <deletedField name="Column11940"/>
      <deletedField name="Column11941"/>
      <deletedField name="Column11942"/>
      <deletedField name="Column11943"/>
      <deletedField name="Column11944"/>
      <deletedField name="Column11945"/>
      <deletedField name="Column11946"/>
      <deletedField name="Column11947"/>
      <deletedField name="Column11948"/>
      <deletedField name="Column11949"/>
      <deletedField name="Column11950"/>
      <deletedField name="Column11951"/>
      <deletedField name="Column11952"/>
      <deletedField name="Column11953"/>
      <deletedField name="Column11954"/>
      <deletedField name="Column11955"/>
      <deletedField name="Column11956"/>
      <deletedField name="Column11957"/>
      <deletedField name="Column11958"/>
      <deletedField name="Column11959"/>
      <deletedField name="Column11960"/>
      <deletedField name="Column11961"/>
      <deletedField name="Column11962"/>
      <deletedField name="Column11963"/>
      <deletedField name="Column11964"/>
      <deletedField name="Column11965"/>
      <deletedField name="Column11966"/>
      <deletedField name="Column11967"/>
      <deletedField name="Column11968"/>
      <deletedField name="Column11969"/>
      <deletedField name="Column11970"/>
      <deletedField name="Column11971"/>
      <deletedField name="Column11972"/>
      <deletedField name="Column11973"/>
      <deletedField name="Column11974"/>
      <deletedField name="Column11975"/>
      <deletedField name="Column11976"/>
      <deletedField name="Column11977"/>
      <deletedField name="Column11978"/>
      <deletedField name="Column11979"/>
      <deletedField name="Column11980"/>
      <deletedField name="Column11981"/>
      <deletedField name="Column11982"/>
      <deletedField name="Column11983"/>
      <deletedField name="Column11984"/>
      <deletedField name="Column11985"/>
      <deletedField name="Column11986"/>
      <deletedField name="Column11987"/>
      <deletedField name="Column11988"/>
      <deletedField name="Column11989"/>
      <deletedField name="Column11990"/>
      <deletedField name="Column11991"/>
      <deletedField name="Column11992"/>
      <deletedField name="Column11993"/>
      <deletedField name="Column11994"/>
      <deletedField name="Column11995"/>
      <deletedField name="Column11996"/>
      <deletedField name="Column11997"/>
      <deletedField name="Column11998"/>
      <deletedField name="Column11999"/>
      <deletedField name="Column12000"/>
      <deletedField name="Column12001"/>
      <deletedField name="Column12002"/>
      <deletedField name="Column12003"/>
      <deletedField name="Column12004"/>
      <deletedField name="Column12005"/>
      <deletedField name="Column12006"/>
      <deletedField name="Column12007"/>
      <deletedField name="Column12008"/>
      <deletedField name="Column12009"/>
      <deletedField name="Column12010"/>
      <deletedField name="Column12011"/>
      <deletedField name="Column12012"/>
      <deletedField name="Column12013"/>
      <deletedField name="Column12014"/>
      <deletedField name="Column12015"/>
      <deletedField name="Column12016"/>
      <deletedField name="Column12017"/>
      <deletedField name="Column12018"/>
      <deletedField name="Column12019"/>
      <deletedField name="Column12020"/>
      <deletedField name="Column12021"/>
      <deletedField name="Column12022"/>
      <deletedField name="Column12023"/>
      <deletedField name="Column12024"/>
      <deletedField name="Column12025"/>
      <deletedField name="Column12026"/>
      <deletedField name="Column12027"/>
      <deletedField name="Column12028"/>
      <deletedField name="Column12029"/>
      <deletedField name="Column12030"/>
      <deletedField name="Column12031"/>
      <deletedField name="Column12032"/>
      <deletedField name="Column12033"/>
      <deletedField name="Column12034"/>
      <deletedField name="Column12035"/>
      <deletedField name="Column12036"/>
      <deletedField name="Column12037"/>
      <deletedField name="Column12038"/>
      <deletedField name="Column12039"/>
      <deletedField name="Column12040"/>
      <deletedField name="Column12041"/>
      <deletedField name="Column12042"/>
      <deletedField name="Column12043"/>
      <deletedField name="Column12044"/>
      <deletedField name="Column12045"/>
      <deletedField name="Column12046"/>
      <deletedField name="Column12047"/>
      <deletedField name="Column12048"/>
      <deletedField name="Column12049"/>
      <deletedField name="Column12050"/>
      <deletedField name="Column12051"/>
      <deletedField name="Column12052"/>
      <deletedField name="Column12053"/>
      <deletedField name="Column12054"/>
      <deletedField name="Column12055"/>
      <deletedField name="Column12056"/>
      <deletedField name="Column12057"/>
      <deletedField name="Column12058"/>
      <deletedField name="Column12059"/>
      <deletedField name="Column12060"/>
      <deletedField name="Column12061"/>
      <deletedField name="Column12062"/>
      <deletedField name="Column12063"/>
      <deletedField name="Column12064"/>
      <deletedField name="Column12065"/>
      <deletedField name="Column12066"/>
      <deletedField name="Column12067"/>
      <deletedField name="Column12068"/>
      <deletedField name="Column12069"/>
      <deletedField name="Column12070"/>
      <deletedField name="Column12071"/>
      <deletedField name="Column12072"/>
      <deletedField name="Column12073"/>
      <deletedField name="Column12074"/>
      <deletedField name="Column12075"/>
      <deletedField name="Column12076"/>
      <deletedField name="Column12077"/>
      <deletedField name="Column12078"/>
      <deletedField name="Column12079"/>
      <deletedField name="Column12080"/>
      <deletedField name="Column12081"/>
      <deletedField name="Column12082"/>
      <deletedField name="Column12083"/>
      <deletedField name="Column12084"/>
      <deletedField name="Column12085"/>
      <deletedField name="Column12086"/>
      <deletedField name="Column12087"/>
      <deletedField name="Column12088"/>
      <deletedField name="Column12089"/>
      <deletedField name="Column12090"/>
      <deletedField name="Column12091"/>
      <deletedField name="Column12092"/>
      <deletedField name="Column12093"/>
      <deletedField name="Column12094"/>
      <deletedField name="Column12095"/>
      <deletedField name="Column12096"/>
      <deletedField name="Column12097"/>
      <deletedField name="Column12098"/>
      <deletedField name="Column12099"/>
      <deletedField name="Column12100"/>
      <deletedField name="Column12101"/>
      <deletedField name="Column12102"/>
      <deletedField name="Column12103"/>
      <deletedField name="Column12104"/>
      <deletedField name="Column12105"/>
      <deletedField name="Column12106"/>
      <deletedField name="Column12107"/>
      <deletedField name="Column12108"/>
      <deletedField name="Column12109"/>
      <deletedField name="Column12110"/>
      <deletedField name="Column12111"/>
      <deletedField name="Column12112"/>
      <deletedField name="Column12113"/>
      <deletedField name="Column12114"/>
      <deletedField name="Column12115"/>
      <deletedField name="Column12116"/>
      <deletedField name="Column12117"/>
      <deletedField name="Column12118"/>
      <deletedField name="Column12119"/>
      <deletedField name="Column12120"/>
      <deletedField name="Column12121"/>
      <deletedField name="Column12122"/>
      <deletedField name="Column12123"/>
      <deletedField name="Column12124"/>
      <deletedField name="Column12125"/>
      <deletedField name="Column12126"/>
      <deletedField name="Column12127"/>
      <deletedField name="Column12128"/>
      <deletedField name="Column12129"/>
      <deletedField name="Column12130"/>
      <deletedField name="Column12131"/>
      <deletedField name="Column12132"/>
      <deletedField name="Column12133"/>
      <deletedField name="Column12134"/>
      <deletedField name="Column12135"/>
      <deletedField name="Column12136"/>
      <deletedField name="Column12137"/>
      <deletedField name="Column12138"/>
      <deletedField name="Column12139"/>
      <deletedField name="Column12140"/>
      <deletedField name="Column12141"/>
      <deletedField name="Column12142"/>
      <deletedField name="Column12143"/>
      <deletedField name="Column12144"/>
      <deletedField name="Column12145"/>
      <deletedField name="Column12146"/>
      <deletedField name="Column12147"/>
      <deletedField name="Column12148"/>
      <deletedField name="Column12149"/>
      <deletedField name="Column12150"/>
      <deletedField name="Column12151"/>
      <deletedField name="Column12152"/>
      <deletedField name="Column12153"/>
      <deletedField name="Column12154"/>
      <deletedField name="Column12155"/>
      <deletedField name="Column12156"/>
      <deletedField name="Column12157"/>
      <deletedField name="Column12158"/>
      <deletedField name="Column12159"/>
      <deletedField name="Column12160"/>
      <deletedField name="Column12161"/>
      <deletedField name="Column12162"/>
      <deletedField name="Column12163"/>
      <deletedField name="Column12164"/>
      <deletedField name="Column12165"/>
      <deletedField name="Column12166"/>
      <deletedField name="Column12167"/>
      <deletedField name="Column12168"/>
      <deletedField name="Column12169"/>
      <deletedField name="Column12170"/>
      <deletedField name="Column12171"/>
      <deletedField name="Column12172"/>
      <deletedField name="Column12173"/>
      <deletedField name="Column12174"/>
      <deletedField name="Column12175"/>
      <deletedField name="Column12176"/>
      <deletedField name="Column12177"/>
      <deletedField name="Column12178"/>
      <deletedField name="Column12179"/>
      <deletedField name="Column12180"/>
      <deletedField name="Column12181"/>
      <deletedField name="Column12182"/>
      <deletedField name="Column12183"/>
      <deletedField name="Column12184"/>
      <deletedField name="Column12185"/>
      <deletedField name="Column12186"/>
      <deletedField name="Column12187"/>
      <deletedField name="Column12188"/>
      <deletedField name="Column12189"/>
      <deletedField name="Column12190"/>
      <deletedField name="Column12191"/>
      <deletedField name="Column12192"/>
      <deletedField name="Column12193"/>
      <deletedField name="Column12194"/>
      <deletedField name="Column12195"/>
      <deletedField name="Column12196"/>
      <deletedField name="Column12197"/>
      <deletedField name="Column12198"/>
      <deletedField name="Column12199"/>
      <deletedField name="Column12200"/>
      <deletedField name="Column12201"/>
      <deletedField name="Column12202"/>
      <deletedField name="Column12203"/>
      <deletedField name="Column12204"/>
      <deletedField name="Column12205"/>
      <deletedField name="Column12206"/>
      <deletedField name="Column12207"/>
      <deletedField name="Column12208"/>
      <deletedField name="Column12209"/>
      <deletedField name="Column12210"/>
      <deletedField name="Column12211"/>
      <deletedField name="Column12212"/>
      <deletedField name="Column12213"/>
      <deletedField name="Column12214"/>
      <deletedField name="Column12215"/>
      <deletedField name="Column12216"/>
      <deletedField name="Column12217"/>
      <deletedField name="Column12218"/>
      <deletedField name="Column12219"/>
      <deletedField name="Column12220"/>
      <deletedField name="Column12221"/>
      <deletedField name="Column12222"/>
      <deletedField name="Column12223"/>
      <deletedField name="Column12224"/>
      <deletedField name="Column12225"/>
      <deletedField name="Column12226"/>
      <deletedField name="Column12227"/>
      <deletedField name="Column12228"/>
      <deletedField name="Column12229"/>
      <deletedField name="Column12230"/>
      <deletedField name="Column12231"/>
      <deletedField name="Column12232"/>
      <deletedField name="Column12233"/>
      <deletedField name="Column12234"/>
      <deletedField name="Column12235"/>
      <deletedField name="Column12236"/>
      <deletedField name="Column12237"/>
      <deletedField name="Column12238"/>
      <deletedField name="Column12239"/>
      <deletedField name="Column12240"/>
      <deletedField name="Column12241"/>
      <deletedField name="Column12242"/>
      <deletedField name="Column12243"/>
      <deletedField name="Column12244"/>
      <deletedField name="Column12245"/>
      <deletedField name="Column12246"/>
      <deletedField name="Column12247"/>
      <deletedField name="Column12248"/>
      <deletedField name="Column12249"/>
      <deletedField name="Column12250"/>
      <deletedField name="Column12251"/>
      <deletedField name="Column12252"/>
      <deletedField name="Column12253"/>
      <deletedField name="Column12254"/>
      <deletedField name="Column12255"/>
      <deletedField name="Column12256"/>
      <deletedField name="Column12257"/>
      <deletedField name="Column12258"/>
      <deletedField name="Column12259"/>
      <deletedField name="Column12260"/>
      <deletedField name="Column12261"/>
      <deletedField name="Column12262"/>
      <deletedField name="Column12263"/>
      <deletedField name="Column12264"/>
      <deletedField name="Column12265"/>
      <deletedField name="Column12266"/>
      <deletedField name="Column12267"/>
      <deletedField name="Column12268"/>
      <deletedField name="Column12269"/>
      <deletedField name="Column12270"/>
      <deletedField name="Column12271"/>
      <deletedField name="Column12272"/>
      <deletedField name="Column12273"/>
      <deletedField name="Column12274"/>
      <deletedField name="Column12275"/>
      <deletedField name="Column12276"/>
      <deletedField name="Column12277"/>
      <deletedField name="Column12278"/>
      <deletedField name="Column12279"/>
      <deletedField name="Column12280"/>
      <deletedField name="Column12281"/>
      <deletedField name="Column12282"/>
      <deletedField name="Column12283"/>
      <deletedField name="Column12284"/>
      <deletedField name="Column12285"/>
      <deletedField name="Column12286"/>
      <deletedField name="Column12287"/>
      <deletedField name="Column12288"/>
      <deletedField name="Column12289"/>
      <deletedField name="Column12290"/>
      <deletedField name="Column12291"/>
      <deletedField name="Column12292"/>
      <deletedField name="Column12293"/>
      <deletedField name="Column12294"/>
      <deletedField name="Column12295"/>
      <deletedField name="Column12296"/>
      <deletedField name="Column12297"/>
      <deletedField name="Column12298"/>
      <deletedField name="Column12299"/>
      <deletedField name="Column12300"/>
      <deletedField name="Column12301"/>
      <deletedField name="Column12302"/>
      <deletedField name="Column12303"/>
      <deletedField name="Column12304"/>
      <deletedField name="Column12305"/>
      <deletedField name="Column12306"/>
      <deletedField name="Column12307"/>
      <deletedField name="Column12308"/>
      <deletedField name="Column12309"/>
      <deletedField name="Column12310"/>
      <deletedField name="Column12311"/>
      <deletedField name="Column12312"/>
      <deletedField name="Column12313"/>
      <deletedField name="Column12314"/>
      <deletedField name="Column12315"/>
      <deletedField name="Column12316"/>
      <deletedField name="Column12317"/>
      <deletedField name="Column12318"/>
      <deletedField name="Column12319"/>
      <deletedField name="Column12320"/>
      <deletedField name="Column12321"/>
      <deletedField name="Column12322"/>
      <deletedField name="Column12323"/>
      <deletedField name="Column12324"/>
      <deletedField name="Column12325"/>
      <deletedField name="Column12326"/>
      <deletedField name="Column12327"/>
      <deletedField name="Column12328"/>
      <deletedField name="Column12329"/>
      <deletedField name="Column12330"/>
      <deletedField name="Column12331"/>
      <deletedField name="Column12332"/>
      <deletedField name="Column12333"/>
      <deletedField name="Column12334"/>
      <deletedField name="Column12335"/>
      <deletedField name="Column12336"/>
      <deletedField name="Column12337"/>
      <deletedField name="Column12338"/>
      <deletedField name="Column12339"/>
      <deletedField name="Column12340"/>
      <deletedField name="Column12341"/>
      <deletedField name="Column12342"/>
      <deletedField name="Column12343"/>
      <deletedField name="Column12344"/>
      <deletedField name="Column12345"/>
      <deletedField name="Column12346"/>
      <deletedField name="Column12347"/>
      <deletedField name="Column12348"/>
      <deletedField name="Column12349"/>
      <deletedField name="Column12350"/>
      <deletedField name="Column12351"/>
      <deletedField name="Column12352"/>
      <deletedField name="Column12353"/>
      <deletedField name="Column12354"/>
      <deletedField name="Column12355"/>
      <deletedField name="Column12356"/>
      <deletedField name="Column12357"/>
      <deletedField name="Column12358"/>
      <deletedField name="Column12359"/>
      <deletedField name="Column12360"/>
      <deletedField name="Column12361"/>
      <deletedField name="Column12362"/>
      <deletedField name="Column12363"/>
      <deletedField name="Column12364"/>
      <deletedField name="Column12365"/>
      <deletedField name="Column12366"/>
      <deletedField name="Column12367"/>
      <deletedField name="Column12368"/>
      <deletedField name="Column12369"/>
      <deletedField name="Column12370"/>
      <deletedField name="Column12371"/>
      <deletedField name="Column12372"/>
      <deletedField name="Column12373"/>
      <deletedField name="Column12374"/>
      <deletedField name="Column12375"/>
      <deletedField name="Column12376"/>
      <deletedField name="Column12377"/>
      <deletedField name="Column12378"/>
      <deletedField name="Column12379"/>
      <deletedField name="Column12380"/>
      <deletedField name="Column12381"/>
      <deletedField name="Column12382"/>
      <deletedField name="Column12383"/>
      <deletedField name="Column12384"/>
      <deletedField name="Column12385"/>
      <deletedField name="Column12386"/>
      <deletedField name="Column12387"/>
      <deletedField name="Column12388"/>
      <deletedField name="Column12389"/>
      <deletedField name="Column12390"/>
      <deletedField name="Column12391"/>
      <deletedField name="Column12392"/>
      <deletedField name="Column12393"/>
      <deletedField name="Column12394"/>
      <deletedField name="Column12395"/>
      <deletedField name="Column12396"/>
      <deletedField name="Column12397"/>
      <deletedField name="Column12398"/>
      <deletedField name="Column12399"/>
      <deletedField name="Column12400"/>
      <deletedField name="Column12401"/>
      <deletedField name="Column12402"/>
      <deletedField name="Column12403"/>
      <deletedField name="Column12404"/>
      <deletedField name="Column12405"/>
      <deletedField name="Column12406"/>
      <deletedField name="Column12407"/>
      <deletedField name="Column12408"/>
      <deletedField name="Column12409"/>
      <deletedField name="Column12410"/>
      <deletedField name="Column12411"/>
      <deletedField name="Column12412"/>
      <deletedField name="Column12413"/>
      <deletedField name="Column12414"/>
      <deletedField name="Column12415"/>
      <deletedField name="Column12416"/>
      <deletedField name="Column12417"/>
      <deletedField name="Column12418"/>
      <deletedField name="Column12419"/>
      <deletedField name="Column12420"/>
      <deletedField name="Column12421"/>
      <deletedField name="Column12422"/>
      <deletedField name="Column12423"/>
      <deletedField name="Column12424"/>
      <deletedField name="Column12425"/>
      <deletedField name="Column12426"/>
      <deletedField name="Column12427"/>
      <deletedField name="Column12428"/>
      <deletedField name="Column12429"/>
      <deletedField name="Column12430"/>
      <deletedField name="Column12431"/>
      <deletedField name="Column12432"/>
      <deletedField name="Column12433"/>
      <deletedField name="Column12434"/>
      <deletedField name="Column12435"/>
      <deletedField name="Column12436"/>
      <deletedField name="Column12437"/>
      <deletedField name="Column12438"/>
      <deletedField name="Column12439"/>
      <deletedField name="Column12440"/>
      <deletedField name="Column12441"/>
      <deletedField name="Column12442"/>
      <deletedField name="Column12443"/>
      <deletedField name="Column12444"/>
      <deletedField name="Column12445"/>
      <deletedField name="Column12446"/>
      <deletedField name="Column12447"/>
      <deletedField name="Column12448"/>
      <deletedField name="Column12449"/>
      <deletedField name="Column12450"/>
      <deletedField name="Column12451"/>
      <deletedField name="Column12452"/>
      <deletedField name="Column12453"/>
      <deletedField name="Column12454"/>
      <deletedField name="Column12455"/>
      <deletedField name="Column12456"/>
      <deletedField name="Column12457"/>
      <deletedField name="Column12458"/>
      <deletedField name="Column12459"/>
      <deletedField name="Column12460"/>
      <deletedField name="Column12461"/>
      <deletedField name="Column12462"/>
      <deletedField name="Column12463"/>
      <deletedField name="Column12464"/>
      <deletedField name="Column12465"/>
      <deletedField name="Column12466"/>
      <deletedField name="Column12467"/>
      <deletedField name="Column12468"/>
      <deletedField name="Column12469"/>
      <deletedField name="Column12470"/>
      <deletedField name="Column12471"/>
      <deletedField name="Column12472"/>
      <deletedField name="Column12473"/>
      <deletedField name="Column12474"/>
      <deletedField name="Column12475"/>
      <deletedField name="Column12476"/>
      <deletedField name="Column12477"/>
      <deletedField name="Column12478"/>
      <deletedField name="Column12479"/>
      <deletedField name="Column12480"/>
      <deletedField name="Column12481"/>
      <deletedField name="Column12482"/>
      <deletedField name="Column12483"/>
      <deletedField name="Column12484"/>
      <deletedField name="Column12485"/>
      <deletedField name="Column12486"/>
      <deletedField name="Column12487"/>
      <deletedField name="Column12488"/>
      <deletedField name="Column12489"/>
      <deletedField name="Column12490"/>
      <deletedField name="Column12491"/>
      <deletedField name="Column12492"/>
      <deletedField name="Column12493"/>
      <deletedField name="Column12494"/>
      <deletedField name="Column12495"/>
      <deletedField name="Column12496"/>
      <deletedField name="Column12497"/>
      <deletedField name="Column12498"/>
      <deletedField name="Column12499"/>
      <deletedField name="Column12500"/>
      <deletedField name="Column12501"/>
      <deletedField name="Column12502"/>
      <deletedField name="Column12503"/>
      <deletedField name="Column12504"/>
      <deletedField name="Column12505"/>
      <deletedField name="Column12506"/>
      <deletedField name="Column12507"/>
      <deletedField name="Column12508"/>
      <deletedField name="Column12509"/>
      <deletedField name="Column12510"/>
      <deletedField name="Column12511"/>
      <deletedField name="Column12512"/>
      <deletedField name="Column12513"/>
      <deletedField name="Column12514"/>
      <deletedField name="Column12515"/>
      <deletedField name="Column12516"/>
      <deletedField name="Column12517"/>
      <deletedField name="Column12518"/>
      <deletedField name="Column12519"/>
      <deletedField name="Column12520"/>
      <deletedField name="Column12521"/>
      <deletedField name="Column12522"/>
      <deletedField name="Column12523"/>
      <deletedField name="Column12524"/>
      <deletedField name="Column12525"/>
      <deletedField name="Column12526"/>
      <deletedField name="Column12527"/>
      <deletedField name="Column12528"/>
      <deletedField name="Column12529"/>
      <deletedField name="Column12530"/>
      <deletedField name="Column12531"/>
      <deletedField name="Column12532"/>
      <deletedField name="Column12533"/>
      <deletedField name="Column12534"/>
      <deletedField name="Column12535"/>
      <deletedField name="Column12536"/>
      <deletedField name="Column12537"/>
      <deletedField name="Column12538"/>
      <deletedField name="Column12539"/>
      <deletedField name="Column12540"/>
      <deletedField name="Column12541"/>
      <deletedField name="Column12542"/>
      <deletedField name="Column12543"/>
      <deletedField name="Column12544"/>
      <deletedField name="Column12545"/>
      <deletedField name="Column12546"/>
      <deletedField name="Column12547"/>
      <deletedField name="Column12548"/>
      <deletedField name="Column12549"/>
      <deletedField name="Column12550"/>
      <deletedField name="Column12551"/>
      <deletedField name="Column12552"/>
      <deletedField name="Column12553"/>
      <deletedField name="Column12554"/>
      <deletedField name="Column12555"/>
      <deletedField name="Column12556"/>
      <deletedField name="Column12557"/>
      <deletedField name="Column12558"/>
      <deletedField name="Column12559"/>
      <deletedField name="Column12560"/>
      <deletedField name="Column12561"/>
      <deletedField name="Column12562"/>
      <deletedField name="Column12563"/>
      <deletedField name="Column12564"/>
      <deletedField name="Column12565"/>
      <deletedField name="Column12566"/>
      <deletedField name="Column12567"/>
      <deletedField name="Column12568"/>
      <deletedField name="Column12569"/>
      <deletedField name="Column12570"/>
      <deletedField name="Column12571"/>
      <deletedField name="Column12572"/>
      <deletedField name="Column12573"/>
      <deletedField name="Column12574"/>
      <deletedField name="Column12575"/>
      <deletedField name="Column12576"/>
      <deletedField name="Column12577"/>
      <deletedField name="Column12578"/>
      <deletedField name="Column12579"/>
      <deletedField name="Column12580"/>
      <deletedField name="Column12581"/>
      <deletedField name="Column12582"/>
      <deletedField name="Column12583"/>
      <deletedField name="Column12584"/>
      <deletedField name="Column12585"/>
      <deletedField name="Column12586"/>
      <deletedField name="Column12587"/>
      <deletedField name="Column12588"/>
      <deletedField name="Column12589"/>
      <deletedField name="Column12590"/>
      <deletedField name="Column12591"/>
      <deletedField name="Column12592"/>
      <deletedField name="Column12593"/>
      <deletedField name="Column12594"/>
      <deletedField name="Column12595"/>
      <deletedField name="Column12596"/>
      <deletedField name="Column12597"/>
      <deletedField name="Column12598"/>
      <deletedField name="Column12599"/>
      <deletedField name="Column12600"/>
      <deletedField name="Column12601"/>
      <deletedField name="Column12602"/>
      <deletedField name="Column12603"/>
      <deletedField name="Column12604"/>
      <deletedField name="Column12605"/>
      <deletedField name="Column12606"/>
      <deletedField name="Column12607"/>
      <deletedField name="Column12608"/>
      <deletedField name="Column12609"/>
      <deletedField name="Column12610"/>
      <deletedField name="Column12611"/>
      <deletedField name="Column12612"/>
      <deletedField name="Column12613"/>
      <deletedField name="Column12614"/>
      <deletedField name="Column12615"/>
      <deletedField name="Column12616"/>
      <deletedField name="Column12617"/>
      <deletedField name="Column12618"/>
      <deletedField name="Column12619"/>
      <deletedField name="Column12620"/>
      <deletedField name="Column12621"/>
      <deletedField name="Column12622"/>
      <deletedField name="Column12623"/>
      <deletedField name="Column12624"/>
      <deletedField name="Column12625"/>
      <deletedField name="Column12626"/>
      <deletedField name="Column12627"/>
      <deletedField name="Column12628"/>
      <deletedField name="Column12629"/>
      <deletedField name="Column12630"/>
      <deletedField name="Column12631"/>
      <deletedField name="Column12632"/>
      <deletedField name="Column12633"/>
      <deletedField name="Column12634"/>
      <deletedField name="Column12635"/>
      <deletedField name="Column12636"/>
      <deletedField name="Column12637"/>
      <deletedField name="Column12638"/>
      <deletedField name="Column12639"/>
      <deletedField name="Column12640"/>
      <deletedField name="Column12641"/>
      <deletedField name="Column12642"/>
      <deletedField name="Column12643"/>
      <deletedField name="Column12644"/>
      <deletedField name="Column12645"/>
      <deletedField name="Column12646"/>
      <deletedField name="Column12647"/>
      <deletedField name="Column12648"/>
      <deletedField name="Column12649"/>
      <deletedField name="Column12650"/>
      <deletedField name="Column12651"/>
      <deletedField name="Column12652"/>
      <deletedField name="Column12653"/>
      <deletedField name="Column12654"/>
      <deletedField name="Column12655"/>
      <deletedField name="Column12656"/>
      <deletedField name="Column12657"/>
      <deletedField name="Column12658"/>
      <deletedField name="Column12659"/>
      <deletedField name="Column12660"/>
      <deletedField name="Column12661"/>
      <deletedField name="Column12662"/>
      <deletedField name="Column12663"/>
      <deletedField name="Column12664"/>
      <deletedField name="Column12665"/>
      <deletedField name="Column12666"/>
      <deletedField name="Column12667"/>
      <deletedField name="Column12668"/>
      <deletedField name="Column12669"/>
      <deletedField name="Column12670"/>
      <deletedField name="Column12671"/>
      <deletedField name="Column12672"/>
      <deletedField name="Column12673"/>
      <deletedField name="Column12674"/>
      <deletedField name="Column12675"/>
      <deletedField name="Column12676"/>
      <deletedField name="Column12677"/>
      <deletedField name="Column12678"/>
      <deletedField name="Column12679"/>
      <deletedField name="Column12680"/>
      <deletedField name="Column12681"/>
      <deletedField name="Column12682"/>
      <deletedField name="Column12683"/>
      <deletedField name="Column12684"/>
      <deletedField name="Column12685"/>
      <deletedField name="Column12686"/>
      <deletedField name="Column12687"/>
      <deletedField name="Column12688"/>
      <deletedField name="Column12689"/>
      <deletedField name="Column12690"/>
      <deletedField name="Column12691"/>
      <deletedField name="Column12692"/>
      <deletedField name="Column12693"/>
      <deletedField name="Column12694"/>
      <deletedField name="Column12695"/>
      <deletedField name="Column12696"/>
      <deletedField name="Column12697"/>
      <deletedField name="Column12698"/>
      <deletedField name="Column12699"/>
      <deletedField name="Column12700"/>
      <deletedField name="Column12701"/>
      <deletedField name="Column12702"/>
      <deletedField name="Column12703"/>
      <deletedField name="Column12704"/>
      <deletedField name="Column12705"/>
      <deletedField name="Column12706"/>
      <deletedField name="Column12707"/>
      <deletedField name="Column12708"/>
      <deletedField name="Column12709"/>
      <deletedField name="Column12710"/>
      <deletedField name="Column12711"/>
      <deletedField name="Column12712"/>
      <deletedField name="Column12713"/>
      <deletedField name="Column12714"/>
      <deletedField name="Column12715"/>
      <deletedField name="Column12716"/>
      <deletedField name="Column12717"/>
      <deletedField name="Column12718"/>
      <deletedField name="Column12719"/>
      <deletedField name="Column12720"/>
      <deletedField name="Column12721"/>
      <deletedField name="Column12722"/>
      <deletedField name="Column12723"/>
      <deletedField name="Column12724"/>
      <deletedField name="Column12725"/>
      <deletedField name="Column12726"/>
      <deletedField name="Column12727"/>
      <deletedField name="Column12728"/>
      <deletedField name="Column12729"/>
      <deletedField name="Column12730"/>
      <deletedField name="Column12731"/>
      <deletedField name="Column12732"/>
      <deletedField name="Column12733"/>
      <deletedField name="Column12734"/>
      <deletedField name="Column12735"/>
      <deletedField name="Column12736"/>
      <deletedField name="Column12737"/>
      <deletedField name="Column12738"/>
      <deletedField name="Column12739"/>
      <deletedField name="Column12740"/>
      <deletedField name="Column12741"/>
      <deletedField name="Column12742"/>
      <deletedField name="Column12743"/>
      <deletedField name="Column12744"/>
      <deletedField name="Column12745"/>
      <deletedField name="Column12746"/>
      <deletedField name="Column12747"/>
      <deletedField name="Column12748"/>
      <deletedField name="Column12749"/>
      <deletedField name="Column12750"/>
      <deletedField name="Column12751"/>
      <deletedField name="Column12752"/>
      <deletedField name="Column12753"/>
      <deletedField name="Column12754"/>
      <deletedField name="Column12755"/>
      <deletedField name="Column12756"/>
      <deletedField name="Column12757"/>
      <deletedField name="Column12758"/>
      <deletedField name="Column12759"/>
      <deletedField name="Column12760"/>
      <deletedField name="Column12761"/>
      <deletedField name="Column12762"/>
      <deletedField name="Column12763"/>
      <deletedField name="Column12764"/>
      <deletedField name="Column12765"/>
      <deletedField name="Column12766"/>
      <deletedField name="Column12767"/>
      <deletedField name="Column12768"/>
      <deletedField name="Column12769"/>
      <deletedField name="Column12770"/>
      <deletedField name="Column12771"/>
      <deletedField name="Column12772"/>
      <deletedField name="Column12773"/>
      <deletedField name="Column12774"/>
      <deletedField name="Column12775"/>
      <deletedField name="Column12776"/>
      <deletedField name="Column12777"/>
      <deletedField name="Column12778"/>
      <deletedField name="Column12779"/>
      <deletedField name="Column12780"/>
      <deletedField name="Column12781"/>
      <deletedField name="Column12782"/>
      <deletedField name="Column12783"/>
      <deletedField name="Column12784"/>
      <deletedField name="Column12785"/>
      <deletedField name="Column12786"/>
      <deletedField name="Column12787"/>
      <deletedField name="Column12788"/>
      <deletedField name="Column12789"/>
      <deletedField name="Column12790"/>
      <deletedField name="Column12791"/>
      <deletedField name="Column12792"/>
      <deletedField name="Column12793"/>
      <deletedField name="Column12794"/>
      <deletedField name="Column12795"/>
      <deletedField name="Column12796"/>
      <deletedField name="Column12797"/>
      <deletedField name="Column12798"/>
      <deletedField name="Column12799"/>
      <deletedField name="Column12800"/>
      <deletedField name="Column12801"/>
      <deletedField name="Column12802"/>
      <deletedField name="Column12803"/>
      <deletedField name="Column12804"/>
      <deletedField name="Column12805"/>
      <deletedField name="Column12806"/>
      <deletedField name="Column12807"/>
      <deletedField name="Column12808"/>
      <deletedField name="Column12809"/>
      <deletedField name="Column12810"/>
      <deletedField name="Column12811"/>
      <deletedField name="Column12812"/>
      <deletedField name="Column12813"/>
      <deletedField name="Column12814"/>
      <deletedField name="Column12815"/>
      <deletedField name="Column12816"/>
      <deletedField name="Column12817"/>
      <deletedField name="Column12818"/>
      <deletedField name="Column12819"/>
      <deletedField name="Column12820"/>
      <deletedField name="Column12821"/>
      <deletedField name="Column12822"/>
      <deletedField name="Column12823"/>
      <deletedField name="Column12824"/>
      <deletedField name="Column12825"/>
      <deletedField name="Column12826"/>
      <deletedField name="Column12827"/>
      <deletedField name="Column12828"/>
      <deletedField name="Column12829"/>
      <deletedField name="Column12830"/>
      <deletedField name="Column12831"/>
      <deletedField name="Column12832"/>
      <deletedField name="Column12833"/>
      <deletedField name="Column12834"/>
      <deletedField name="Column12835"/>
      <deletedField name="Column12836"/>
      <deletedField name="Column12837"/>
      <deletedField name="Column12838"/>
      <deletedField name="Column12839"/>
      <deletedField name="Column12840"/>
      <deletedField name="Column12841"/>
      <deletedField name="Column12842"/>
      <deletedField name="Column12843"/>
      <deletedField name="Column12844"/>
      <deletedField name="Column12845"/>
      <deletedField name="Column12846"/>
      <deletedField name="Column12847"/>
      <deletedField name="Column12848"/>
      <deletedField name="Column12849"/>
      <deletedField name="Column12850"/>
      <deletedField name="Column12851"/>
      <deletedField name="Column12852"/>
      <deletedField name="Column12853"/>
      <deletedField name="Column12854"/>
      <deletedField name="Column12855"/>
      <deletedField name="Column12856"/>
      <deletedField name="Column12857"/>
      <deletedField name="Column12858"/>
      <deletedField name="Column12859"/>
      <deletedField name="Column12860"/>
      <deletedField name="Column12861"/>
      <deletedField name="Column12862"/>
      <deletedField name="Column12863"/>
      <deletedField name="Column12864"/>
      <deletedField name="Column12865"/>
      <deletedField name="Column12866"/>
      <deletedField name="Column12867"/>
      <deletedField name="Column12868"/>
      <deletedField name="Column12869"/>
      <deletedField name="Column12870"/>
      <deletedField name="Column12871"/>
      <deletedField name="Column12872"/>
      <deletedField name="Column12873"/>
      <deletedField name="Column12874"/>
      <deletedField name="Column12875"/>
      <deletedField name="Column12876"/>
      <deletedField name="Column12877"/>
      <deletedField name="Column12878"/>
      <deletedField name="Column12879"/>
      <deletedField name="Column12880"/>
      <deletedField name="Column12881"/>
      <deletedField name="Column12882"/>
      <deletedField name="Column12883"/>
      <deletedField name="Column12884"/>
      <deletedField name="Column12885"/>
      <deletedField name="Column12886"/>
      <deletedField name="Column12887"/>
      <deletedField name="Column12888"/>
      <deletedField name="Column12889"/>
      <deletedField name="Column12890"/>
      <deletedField name="Column12891"/>
      <deletedField name="Column12892"/>
      <deletedField name="Column12893"/>
      <deletedField name="Column12894"/>
      <deletedField name="Column12895"/>
      <deletedField name="Column12896"/>
      <deletedField name="Column12897"/>
      <deletedField name="Column12898"/>
      <deletedField name="Column12899"/>
      <deletedField name="Column12900"/>
      <deletedField name="Column12901"/>
      <deletedField name="Column12902"/>
      <deletedField name="Column12903"/>
      <deletedField name="Column12904"/>
      <deletedField name="Column12905"/>
      <deletedField name="Column12906"/>
      <deletedField name="Column12907"/>
      <deletedField name="Column12908"/>
      <deletedField name="Column12909"/>
      <deletedField name="Column12910"/>
      <deletedField name="Column12911"/>
      <deletedField name="Column12912"/>
      <deletedField name="Column12913"/>
      <deletedField name="Column12914"/>
      <deletedField name="Column12915"/>
      <deletedField name="Column12916"/>
      <deletedField name="Column12917"/>
      <deletedField name="Column12918"/>
      <deletedField name="Column12919"/>
      <deletedField name="Column12920"/>
      <deletedField name="Column12921"/>
      <deletedField name="Column12922"/>
      <deletedField name="Column12923"/>
      <deletedField name="Column12924"/>
      <deletedField name="Column12925"/>
      <deletedField name="Column12926"/>
      <deletedField name="Column12927"/>
      <deletedField name="Column12928"/>
      <deletedField name="Column12929"/>
      <deletedField name="Column12930"/>
      <deletedField name="Column12931"/>
      <deletedField name="Column12932"/>
      <deletedField name="Column12933"/>
      <deletedField name="Column12934"/>
      <deletedField name="Column12935"/>
      <deletedField name="Column12936"/>
      <deletedField name="Column12937"/>
      <deletedField name="Column12938"/>
      <deletedField name="Column12939"/>
      <deletedField name="Column12940"/>
      <deletedField name="Column12941"/>
      <deletedField name="Column12942"/>
      <deletedField name="Column12943"/>
      <deletedField name="Column12944"/>
      <deletedField name="Column12945"/>
      <deletedField name="Column12946"/>
      <deletedField name="Column12947"/>
      <deletedField name="Column12948"/>
      <deletedField name="Column12949"/>
      <deletedField name="Column12950"/>
      <deletedField name="Column12951"/>
      <deletedField name="Column12952"/>
      <deletedField name="Column12953"/>
      <deletedField name="Column12954"/>
      <deletedField name="Column12955"/>
      <deletedField name="Column12956"/>
      <deletedField name="Column12957"/>
      <deletedField name="Column12958"/>
      <deletedField name="Column12959"/>
      <deletedField name="Column12960"/>
      <deletedField name="Column12961"/>
      <deletedField name="Column12962"/>
      <deletedField name="Column12963"/>
      <deletedField name="Column12964"/>
      <deletedField name="Column12965"/>
      <deletedField name="Column12966"/>
      <deletedField name="Column12967"/>
      <deletedField name="Column12968"/>
      <deletedField name="Column12969"/>
      <deletedField name="Column12970"/>
      <deletedField name="Column12971"/>
      <deletedField name="Column12972"/>
      <deletedField name="Column12973"/>
      <deletedField name="Column12974"/>
      <deletedField name="Column12975"/>
      <deletedField name="Column12976"/>
      <deletedField name="Column12977"/>
      <deletedField name="Column12978"/>
      <deletedField name="Column12979"/>
      <deletedField name="Column12980"/>
      <deletedField name="Column12981"/>
      <deletedField name="Column12982"/>
      <deletedField name="Column12983"/>
      <deletedField name="Column12984"/>
      <deletedField name="Column12985"/>
      <deletedField name="Column12986"/>
      <deletedField name="Column12987"/>
      <deletedField name="Column12988"/>
      <deletedField name="Column12989"/>
      <deletedField name="Column12990"/>
      <deletedField name="Column12991"/>
      <deletedField name="Column12992"/>
      <deletedField name="Column12993"/>
      <deletedField name="Column12994"/>
      <deletedField name="Column12995"/>
      <deletedField name="Column12996"/>
      <deletedField name="Column12997"/>
      <deletedField name="Column12998"/>
      <deletedField name="Column12999"/>
      <deletedField name="Column13000"/>
      <deletedField name="Column13001"/>
      <deletedField name="Column13002"/>
      <deletedField name="Column13003"/>
      <deletedField name="Column13004"/>
      <deletedField name="Column13005"/>
      <deletedField name="Column13006"/>
      <deletedField name="Column13007"/>
      <deletedField name="Column13008"/>
      <deletedField name="Column13009"/>
      <deletedField name="Column13010"/>
      <deletedField name="Column13011"/>
      <deletedField name="Column13012"/>
      <deletedField name="Column13013"/>
      <deletedField name="Column13014"/>
      <deletedField name="Column13015"/>
      <deletedField name="Column13016"/>
      <deletedField name="Column13017"/>
      <deletedField name="Column13018"/>
      <deletedField name="Column13019"/>
      <deletedField name="Column13020"/>
      <deletedField name="Column13021"/>
      <deletedField name="Column13022"/>
      <deletedField name="Column13023"/>
      <deletedField name="Column13024"/>
      <deletedField name="Column13025"/>
      <deletedField name="Column13026"/>
      <deletedField name="Column13027"/>
      <deletedField name="Column13028"/>
      <deletedField name="Column13029"/>
      <deletedField name="Column13030"/>
      <deletedField name="Column13031"/>
      <deletedField name="Column13032"/>
      <deletedField name="Column13033"/>
      <deletedField name="Column13034"/>
      <deletedField name="Column13035"/>
      <deletedField name="Column13036"/>
      <deletedField name="Column13037"/>
      <deletedField name="Column13038"/>
      <deletedField name="Column13039"/>
      <deletedField name="Column13040"/>
      <deletedField name="Column13041"/>
      <deletedField name="Column13042"/>
      <deletedField name="Column13043"/>
      <deletedField name="Column13044"/>
      <deletedField name="Column13045"/>
      <deletedField name="Column13046"/>
      <deletedField name="Column13047"/>
      <deletedField name="Column13048"/>
      <deletedField name="Column13049"/>
      <deletedField name="Column13050"/>
      <deletedField name="Column13051"/>
      <deletedField name="Column13052"/>
      <deletedField name="Column13053"/>
      <deletedField name="Column13054"/>
      <deletedField name="Column13055"/>
      <deletedField name="Column13056"/>
      <deletedField name="Column13057"/>
      <deletedField name="Column13058"/>
      <deletedField name="Column13059"/>
      <deletedField name="Column13060"/>
      <deletedField name="Column13061"/>
      <deletedField name="Column13062"/>
      <deletedField name="Column13063"/>
      <deletedField name="Column13064"/>
      <deletedField name="Column13065"/>
      <deletedField name="Column13066"/>
      <deletedField name="Column13067"/>
      <deletedField name="Column13068"/>
      <deletedField name="Column13069"/>
      <deletedField name="Column13070"/>
      <deletedField name="Column13071"/>
      <deletedField name="Column13072"/>
      <deletedField name="Column13073"/>
      <deletedField name="Column13074"/>
      <deletedField name="Column13075"/>
      <deletedField name="Column13076"/>
      <deletedField name="Column13077"/>
      <deletedField name="Column13078"/>
      <deletedField name="Column13079"/>
      <deletedField name="Column13080"/>
      <deletedField name="Column13081"/>
      <deletedField name="Column13082"/>
      <deletedField name="Column13083"/>
      <deletedField name="Column13084"/>
      <deletedField name="Column13085"/>
      <deletedField name="Column13086"/>
      <deletedField name="Column13087"/>
      <deletedField name="Column13088"/>
      <deletedField name="Column13089"/>
      <deletedField name="Column13090"/>
      <deletedField name="Column13091"/>
      <deletedField name="Column13092"/>
      <deletedField name="Column13093"/>
      <deletedField name="Column13094"/>
      <deletedField name="Column13095"/>
      <deletedField name="Column13096"/>
      <deletedField name="Column13097"/>
      <deletedField name="Column13098"/>
      <deletedField name="Column13099"/>
      <deletedField name="Column13100"/>
      <deletedField name="Column13101"/>
      <deletedField name="Column13102"/>
      <deletedField name="Column13103"/>
      <deletedField name="Column13104"/>
      <deletedField name="Column13105"/>
      <deletedField name="Column13106"/>
      <deletedField name="Column13107"/>
      <deletedField name="Column13108"/>
      <deletedField name="Column13109"/>
      <deletedField name="Column13110"/>
      <deletedField name="Column13111"/>
      <deletedField name="Column13112"/>
      <deletedField name="Column13113"/>
      <deletedField name="Column13114"/>
      <deletedField name="Column13115"/>
      <deletedField name="Column13116"/>
      <deletedField name="Column13117"/>
      <deletedField name="Column13118"/>
      <deletedField name="Column13119"/>
      <deletedField name="Column13120"/>
      <deletedField name="Column13121"/>
      <deletedField name="Column13122"/>
      <deletedField name="Column13123"/>
      <deletedField name="Column13124"/>
      <deletedField name="Column13125"/>
      <deletedField name="Column13126"/>
      <deletedField name="Column13127"/>
      <deletedField name="Column13128"/>
      <deletedField name="Column13129"/>
      <deletedField name="Column13130"/>
      <deletedField name="Column13131"/>
      <deletedField name="Column13132"/>
      <deletedField name="Column13133"/>
      <deletedField name="Column13134"/>
      <deletedField name="Column13135"/>
      <deletedField name="Column13136"/>
      <deletedField name="Column13137"/>
      <deletedField name="Column13138"/>
      <deletedField name="Column13139"/>
      <deletedField name="Column13140"/>
      <deletedField name="Column13141"/>
      <deletedField name="Column13142"/>
      <deletedField name="Column13143"/>
      <deletedField name="Column13144"/>
      <deletedField name="Column13145"/>
      <deletedField name="Column13146"/>
      <deletedField name="Column13147"/>
      <deletedField name="Column13148"/>
      <deletedField name="Column13149"/>
      <deletedField name="Column13150"/>
      <deletedField name="Column13151"/>
      <deletedField name="Column13152"/>
      <deletedField name="Column13153"/>
      <deletedField name="Column13154"/>
      <deletedField name="Column13155"/>
      <deletedField name="Column13156"/>
      <deletedField name="Column13157"/>
      <deletedField name="Column13158"/>
      <deletedField name="Column13159"/>
      <deletedField name="Column13160"/>
      <deletedField name="Column13161"/>
      <deletedField name="Column13162"/>
      <deletedField name="Column13163"/>
      <deletedField name="Column13164"/>
      <deletedField name="Column13165"/>
      <deletedField name="Column13166"/>
      <deletedField name="Column13167"/>
      <deletedField name="Column13168"/>
      <deletedField name="Column13169"/>
      <deletedField name="Column13170"/>
      <deletedField name="Column13171"/>
      <deletedField name="Column13172"/>
      <deletedField name="Column13173"/>
      <deletedField name="Column13174"/>
      <deletedField name="Column13175"/>
      <deletedField name="Column13176"/>
      <deletedField name="Column13177"/>
      <deletedField name="Column13178"/>
      <deletedField name="Column13179"/>
      <deletedField name="Column13180"/>
      <deletedField name="Column13181"/>
      <deletedField name="Column13182"/>
      <deletedField name="Column13183"/>
      <deletedField name="Column13184"/>
      <deletedField name="Column13185"/>
      <deletedField name="Column13186"/>
      <deletedField name="Column13187"/>
      <deletedField name="Column13188"/>
      <deletedField name="Column13189"/>
      <deletedField name="Column13190"/>
      <deletedField name="Column13191"/>
      <deletedField name="Column13192"/>
      <deletedField name="Column13193"/>
      <deletedField name="Column13194"/>
      <deletedField name="Column13195"/>
      <deletedField name="Column13196"/>
      <deletedField name="Column13197"/>
      <deletedField name="Column13198"/>
      <deletedField name="Column13199"/>
      <deletedField name="Column13200"/>
      <deletedField name="Column13201"/>
      <deletedField name="Column13202"/>
      <deletedField name="Column13203"/>
      <deletedField name="Column13204"/>
      <deletedField name="Column13205"/>
      <deletedField name="Column13206"/>
      <deletedField name="Column13207"/>
      <deletedField name="Column13208"/>
      <deletedField name="Column13209"/>
      <deletedField name="Column13210"/>
      <deletedField name="Column13211"/>
      <deletedField name="Column13212"/>
      <deletedField name="Column13213"/>
      <deletedField name="Column13214"/>
      <deletedField name="Column13215"/>
      <deletedField name="Column13216"/>
      <deletedField name="Column13217"/>
      <deletedField name="Column13218"/>
      <deletedField name="Column13219"/>
      <deletedField name="Column13220"/>
      <deletedField name="Column13221"/>
      <deletedField name="Column13222"/>
      <deletedField name="Column13223"/>
      <deletedField name="Column13224"/>
      <deletedField name="Column13225"/>
      <deletedField name="Column13226"/>
      <deletedField name="Column13227"/>
      <deletedField name="Column13228"/>
      <deletedField name="Column13229"/>
      <deletedField name="Column13230"/>
      <deletedField name="Column13231"/>
      <deletedField name="Column13232"/>
      <deletedField name="Column13233"/>
      <deletedField name="Column13234"/>
      <deletedField name="Column13235"/>
      <deletedField name="Column13236"/>
      <deletedField name="Column13237"/>
      <deletedField name="Column13238"/>
      <deletedField name="Column13239"/>
      <deletedField name="Column13240"/>
      <deletedField name="Column13241"/>
      <deletedField name="Column13242"/>
      <deletedField name="Column13243"/>
      <deletedField name="Column13244"/>
      <deletedField name="Column13245"/>
      <deletedField name="Column13246"/>
      <deletedField name="Column13247"/>
      <deletedField name="Column13248"/>
      <deletedField name="Column13249"/>
      <deletedField name="Column13250"/>
      <deletedField name="Column13251"/>
      <deletedField name="Column13252"/>
      <deletedField name="Column13253"/>
      <deletedField name="Column13254"/>
      <deletedField name="Column13255"/>
      <deletedField name="Column13256"/>
      <deletedField name="Column13257"/>
      <deletedField name="Column13258"/>
      <deletedField name="Column13259"/>
      <deletedField name="Column13260"/>
      <deletedField name="Column13261"/>
      <deletedField name="Column13262"/>
      <deletedField name="Column13263"/>
      <deletedField name="Column13264"/>
      <deletedField name="Column13265"/>
      <deletedField name="Column13266"/>
      <deletedField name="Column13267"/>
      <deletedField name="Column13268"/>
      <deletedField name="Column13269"/>
      <deletedField name="Column13270"/>
      <deletedField name="Column13271"/>
      <deletedField name="Column13272"/>
      <deletedField name="Column13273"/>
      <deletedField name="Column13274"/>
      <deletedField name="Column13275"/>
      <deletedField name="Column13276"/>
      <deletedField name="Column13277"/>
      <deletedField name="Column13278"/>
      <deletedField name="Column13279"/>
      <deletedField name="Column13280"/>
      <deletedField name="Column13281"/>
      <deletedField name="Column13282"/>
      <deletedField name="Column13283"/>
      <deletedField name="Column13284"/>
      <deletedField name="Column13285"/>
      <deletedField name="Column13286"/>
      <deletedField name="Column13287"/>
      <deletedField name="Column13288"/>
      <deletedField name="Column13289"/>
      <deletedField name="Column13290"/>
      <deletedField name="Column13291"/>
      <deletedField name="Column13292"/>
      <deletedField name="Column13293"/>
      <deletedField name="Column13294"/>
      <deletedField name="Column13295"/>
      <deletedField name="Column13296"/>
      <deletedField name="Column13297"/>
      <deletedField name="Column13298"/>
      <deletedField name="Column13299"/>
      <deletedField name="Column13300"/>
      <deletedField name="Column13301"/>
      <deletedField name="Column13302"/>
      <deletedField name="Column13303"/>
      <deletedField name="Column13304"/>
      <deletedField name="Column13305"/>
      <deletedField name="Column13306"/>
      <deletedField name="Column13307"/>
      <deletedField name="Column13308"/>
      <deletedField name="Column13309"/>
      <deletedField name="Column13310"/>
      <deletedField name="Column13311"/>
      <deletedField name="Column13312"/>
      <deletedField name="Column13313"/>
      <deletedField name="Column13314"/>
      <deletedField name="Column13315"/>
      <deletedField name="Column13316"/>
      <deletedField name="Column13317"/>
      <deletedField name="Column13318"/>
      <deletedField name="Column13319"/>
      <deletedField name="Column13320"/>
      <deletedField name="Column13321"/>
      <deletedField name="Column13322"/>
      <deletedField name="Column13323"/>
      <deletedField name="Column13324"/>
      <deletedField name="Column13325"/>
      <deletedField name="Column13326"/>
      <deletedField name="Column13327"/>
      <deletedField name="Column13328"/>
      <deletedField name="Column13329"/>
      <deletedField name="Column13330"/>
      <deletedField name="Column13331"/>
      <deletedField name="Column13332"/>
      <deletedField name="Column13333"/>
      <deletedField name="Column13334"/>
      <deletedField name="Column13335"/>
      <deletedField name="Column13336"/>
      <deletedField name="Column13337"/>
      <deletedField name="Column13338"/>
      <deletedField name="Column13339"/>
      <deletedField name="Column13340"/>
      <deletedField name="Column13341"/>
      <deletedField name="Column13342"/>
      <deletedField name="Column13343"/>
      <deletedField name="Column13344"/>
      <deletedField name="Column13345"/>
      <deletedField name="Column13346"/>
      <deletedField name="Column13347"/>
      <deletedField name="Column13348"/>
      <deletedField name="Column13349"/>
      <deletedField name="Column13350"/>
      <deletedField name="Column13351"/>
      <deletedField name="Column13352"/>
      <deletedField name="Column13353"/>
      <deletedField name="Column13354"/>
      <deletedField name="Column13355"/>
      <deletedField name="Column13356"/>
      <deletedField name="Column13357"/>
      <deletedField name="Column13358"/>
      <deletedField name="Column13359"/>
      <deletedField name="Column13360"/>
      <deletedField name="Column13361"/>
      <deletedField name="Column13362"/>
      <deletedField name="Column13363"/>
      <deletedField name="Column13364"/>
      <deletedField name="Column13365"/>
      <deletedField name="Column13366"/>
      <deletedField name="Column13367"/>
      <deletedField name="Column13368"/>
      <deletedField name="Column13369"/>
      <deletedField name="Column13370"/>
      <deletedField name="Column13371"/>
      <deletedField name="Column13372"/>
      <deletedField name="Column13373"/>
      <deletedField name="Column13374"/>
      <deletedField name="Column13375"/>
      <deletedField name="Column13376"/>
      <deletedField name="Column13377"/>
      <deletedField name="Column13378"/>
      <deletedField name="Column13379"/>
      <deletedField name="Column13380"/>
      <deletedField name="Column13381"/>
      <deletedField name="Column13382"/>
      <deletedField name="Column13383"/>
      <deletedField name="Column13384"/>
      <deletedField name="Column13385"/>
      <deletedField name="Column13386"/>
      <deletedField name="Column13387"/>
      <deletedField name="Column13388"/>
      <deletedField name="Column13389"/>
      <deletedField name="Column13390"/>
      <deletedField name="Column13391"/>
      <deletedField name="Column13392"/>
      <deletedField name="Column13393"/>
      <deletedField name="Column13394"/>
      <deletedField name="Column13395"/>
      <deletedField name="Column13396"/>
      <deletedField name="Column13397"/>
      <deletedField name="Column13398"/>
      <deletedField name="Column13399"/>
      <deletedField name="Column13400"/>
      <deletedField name="Column13401"/>
      <deletedField name="Column13402"/>
      <deletedField name="Column13403"/>
      <deletedField name="Column13404"/>
      <deletedField name="Column13405"/>
      <deletedField name="Column13406"/>
      <deletedField name="Column13407"/>
      <deletedField name="Column13408"/>
      <deletedField name="Column13409"/>
      <deletedField name="Column13410"/>
      <deletedField name="Column13411"/>
      <deletedField name="Column13412"/>
      <deletedField name="Column13413"/>
      <deletedField name="Column13414"/>
      <deletedField name="Column13415"/>
      <deletedField name="Column13416"/>
      <deletedField name="Column13417"/>
      <deletedField name="Column13418"/>
      <deletedField name="Column13419"/>
      <deletedField name="Column13420"/>
      <deletedField name="Column13421"/>
      <deletedField name="Column13422"/>
      <deletedField name="Column13423"/>
      <deletedField name="Column13424"/>
      <deletedField name="Column13425"/>
      <deletedField name="Column13426"/>
      <deletedField name="Column13427"/>
      <deletedField name="Column13428"/>
      <deletedField name="Column13429"/>
      <deletedField name="Column13430"/>
      <deletedField name="Column13431"/>
      <deletedField name="Column13432"/>
      <deletedField name="Column13433"/>
      <deletedField name="Column13434"/>
      <deletedField name="Column13435"/>
      <deletedField name="Column13436"/>
      <deletedField name="Column13437"/>
      <deletedField name="Column13438"/>
      <deletedField name="Column13439"/>
      <deletedField name="Column13440"/>
      <deletedField name="Column13441"/>
      <deletedField name="Column13442"/>
      <deletedField name="Column13443"/>
      <deletedField name="Column13444"/>
      <deletedField name="Column13445"/>
      <deletedField name="Column13446"/>
      <deletedField name="Column13447"/>
      <deletedField name="Column13448"/>
      <deletedField name="Column13449"/>
      <deletedField name="Column13450"/>
      <deletedField name="Column13451"/>
      <deletedField name="Column13452"/>
      <deletedField name="Column13453"/>
      <deletedField name="Column13454"/>
      <deletedField name="Column13455"/>
      <deletedField name="Column13456"/>
      <deletedField name="Column13457"/>
      <deletedField name="Column13458"/>
      <deletedField name="Column13459"/>
      <deletedField name="Column13460"/>
      <deletedField name="Column13461"/>
      <deletedField name="Column13462"/>
      <deletedField name="Column13463"/>
      <deletedField name="Column13464"/>
      <deletedField name="Column13465"/>
      <deletedField name="Column13466"/>
      <deletedField name="Column13467"/>
      <deletedField name="Column13468"/>
      <deletedField name="Column13469"/>
      <deletedField name="Column13470"/>
      <deletedField name="Column13471"/>
      <deletedField name="Column13472"/>
      <deletedField name="Column13473"/>
      <deletedField name="Column13474"/>
      <deletedField name="Column13475"/>
      <deletedField name="Column13476"/>
      <deletedField name="Column13477"/>
      <deletedField name="Column13478"/>
      <deletedField name="Column13479"/>
      <deletedField name="Column13480"/>
      <deletedField name="Column13481"/>
      <deletedField name="Column13482"/>
      <deletedField name="Column13483"/>
      <deletedField name="Column13484"/>
      <deletedField name="Column13485"/>
      <deletedField name="Column13486"/>
      <deletedField name="Column13487"/>
      <deletedField name="Column13488"/>
      <deletedField name="Column13489"/>
      <deletedField name="Column13490"/>
      <deletedField name="Column13491"/>
      <deletedField name="Column13492"/>
      <deletedField name="Column13493"/>
      <deletedField name="Column13494"/>
      <deletedField name="Column13495"/>
      <deletedField name="Column13496"/>
      <deletedField name="Column13497"/>
      <deletedField name="Column13498"/>
      <deletedField name="Column13499"/>
      <deletedField name="Column13500"/>
      <deletedField name="Column13501"/>
      <deletedField name="Column13502"/>
      <deletedField name="Column13503"/>
      <deletedField name="Column13504"/>
      <deletedField name="Column13505"/>
      <deletedField name="Column13506"/>
      <deletedField name="Column13507"/>
      <deletedField name="Column13508"/>
      <deletedField name="Column13509"/>
      <deletedField name="Column13510"/>
      <deletedField name="Column13511"/>
      <deletedField name="Column13512"/>
      <deletedField name="Column13513"/>
      <deletedField name="Column13514"/>
      <deletedField name="Column13515"/>
      <deletedField name="Column13516"/>
      <deletedField name="Column13517"/>
      <deletedField name="Column13518"/>
      <deletedField name="Column13519"/>
      <deletedField name="Column13520"/>
      <deletedField name="Column13521"/>
      <deletedField name="Column13522"/>
      <deletedField name="Column13523"/>
      <deletedField name="Column13524"/>
      <deletedField name="Column13525"/>
      <deletedField name="Column13526"/>
      <deletedField name="Column13527"/>
      <deletedField name="Column13528"/>
      <deletedField name="Column13529"/>
      <deletedField name="Column13530"/>
      <deletedField name="Column13531"/>
      <deletedField name="Column13532"/>
      <deletedField name="Column13533"/>
      <deletedField name="Column13534"/>
      <deletedField name="Column13535"/>
      <deletedField name="Column13536"/>
      <deletedField name="Column13537"/>
      <deletedField name="Column13538"/>
      <deletedField name="Column13539"/>
      <deletedField name="Column13540"/>
      <deletedField name="Column13541"/>
      <deletedField name="Column13542"/>
      <deletedField name="Column13543"/>
      <deletedField name="Column13544"/>
      <deletedField name="Column13545"/>
      <deletedField name="Column13546"/>
      <deletedField name="Column13547"/>
      <deletedField name="Column13548"/>
      <deletedField name="Column13549"/>
      <deletedField name="Column13550"/>
      <deletedField name="Column13551"/>
      <deletedField name="Column13552"/>
      <deletedField name="Column13553"/>
      <deletedField name="Column13554"/>
      <deletedField name="Column13555"/>
      <deletedField name="Column13556"/>
      <deletedField name="Column13557"/>
      <deletedField name="Column13558"/>
      <deletedField name="Column13559"/>
      <deletedField name="Column13560"/>
      <deletedField name="Column13561"/>
      <deletedField name="Column13562"/>
      <deletedField name="Column13563"/>
      <deletedField name="Column13564"/>
      <deletedField name="Column13565"/>
      <deletedField name="Column13566"/>
      <deletedField name="Column13567"/>
      <deletedField name="Column13568"/>
      <deletedField name="Column13569"/>
      <deletedField name="Column13570"/>
      <deletedField name="Column13571"/>
      <deletedField name="Column13572"/>
      <deletedField name="Column13573"/>
      <deletedField name="Column13574"/>
      <deletedField name="Column13575"/>
      <deletedField name="Column13576"/>
      <deletedField name="Column13577"/>
      <deletedField name="Column13578"/>
      <deletedField name="Column13579"/>
      <deletedField name="Column13580"/>
      <deletedField name="Column13581"/>
      <deletedField name="Column13582"/>
      <deletedField name="Column13583"/>
      <deletedField name="Column13584"/>
      <deletedField name="Column13585"/>
      <deletedField name="Column13586"/>
      <deletedField name="Column13587"/>
      <deletedField name="Column13588"/>
      <deletedField name="Column13589"/>
      <deletedField name="Column13590"/>
      <deletedField name="Column13591"/>
      <deletedField name="Column13592"/>
      <deletedField name="Column13593"/>
      <deletedField name="Column13594"/>
      <deletedField name="Column13595"/>
      <deletedField name="Column13596"/>
      <deletedField name="Column13597"/>
      <deletedField name="Column13598"/>
      <deletedField name="Column13599"/>
      <deletedField name="Column13600"/>
      <deletedField name="Column13601"/>
      <deletedField name="Column13602"/>
      <deletedField name="Column13603"/>
      <deletedField name="Column13604"/>
      <deletedField name="Column13605"/>
      <deletedField name="Column13606"/>
      <deletedField name="Column13607"/>
      <deletedField name="Column13608"/>
      <deletedField name="Column13609"/>
      <deletedField name="Column13610"/>
      <deletedField name="Column13611"/>
      <deletedField name="Column13612"/>
      <deletedField name="Column13613"/>
      <deletedField name="Column13614"/>
      <deletedField name="Column13615"/>
      <deletedField name="Column13616"/>
      <deletedField name="Column13617"/>
      <deletedField name="Column13618"/>
      <deletedField name="Column13619"/>
      <deletedField name="Column13620"/>
      <deletedField name="Column13621"/>
      <deletedField name="Column13622"/>
      <deletedField name="Column13623"/>
      <deletedField name="Column13624"/>
      <deletedField name="Column13625"/>
      <deletedField name="Column13626"/>
      <deletedField name="Column13627"/>
      <deletedField name="Column13628"/>
      <deletedField name="Column13629"/>
      <deletedField name="Column13630"/>
      <deletedField name="Column13631"/>
      <deletedField name="Column13632"/>
      <deletedField name="Column13633"/>
      <deletedField name="Column13634"/>
      <deletedField name="Column13635"/>
      <deletedField name="Column13636"/>
      <deletedField name="Column13637"/>
      <deletedField name="Column13638"/>
      <deletedField name="Column13639"/>
      <deletedField name="Column13640"/>
      <deletedField name="Column13641"/>
      <deletedField name="Column13642"/>
      <deletedField name="Column13643"/>
      <deletedField name="Column13644"/>
      <deletedField name="Column13645"/>
      <deletedField name="Column13646"/>
      <deletedField name="Column13647"/>
      <deletedField name="Column13648"/>
      <deletedField name="Column13649"/>
      <deletedField name="Column13650"/>
      <deletedField name="Column13651"/>
      <deletedField name="Column13652"/>
      <deletedField name="Column13653"/>
      <deletedField name="Column13654"/>
      <deletedField name="Column13655"/>
      <deletedField name="Column13656"/>
      <deletedField name="Column13657"/>
      <deletedField name="Column13658"/>
      <deletedField name="Column13659"/>
      <deletedField name="Column13660"/>
      <deletedField name="Column13661"/>
      <deletedField name="Column13662"/>
      <deletedField name="Column13663"/>
      <deletedField name="Column13664"/>
      <deletedField name="Column13665"/>
      <deletedField name="Column13666"/>
      <deletedField name="Column13667"/>
      <deletedField name="Column13668"/>
      <deletedField name="Column13669"/>
      <deletedField name="Column13670"/>
      <deletedField name="Column13671"/>
      <deletedField name="Column13672"/>
      <deletedField name="Column13673"/>
      <deletedField name="Column13674"/>
      <deletedField name="Column13675"/>
      <deletedField name="Column13676"/>
      <deletedField name="Column13677"/>
      <deletedField name="Column13678"/>
      <deletedField name="Column13679"/>
      <deletedField name="Column13680"/>
      <deletedField name="Column13681"/>
      <deletedField name="Column13682"/>
      <deletedField name="Column13683"/>
      <deletedField name="Column13684"/>
      <deletedField name="Column13685"/>
      <deletedField name="Column13686"/>
      <deletedField name="Column13687"/>
      <deletedField name="Column13688"/>
      <deletedField name="Column13689"/>
      <deletedField name="Column13690"/>
      <deletedField name="Column13691"/>
      <deletedField name="Column13692"/>
      <deletedField name="Column13693"/>
      <deletedField name="Column13694"/>
      <deletedField name="Column13695"/>
      <deletedField name="Column13696"/>
      <deletedField name="Column13697"/>
      <deletedField name="Column13698"/>
      <deletedField name="Column13699"/>
      <deletedField name="Column13700"/>
      <deletedField name="Column13701"/>
      <deletedField name="Column13702"/>
      <deletedField name="Column13703"/>
      <deletedField name="Column13704"/>
      <deletedField name="Column13705"/>
      <deletedField name="Column13706"/>
      <deletedField name="Column13707"/>
      <deletedField name="Column13708"/>
      <deletedField name="Column13709"/>
      <deletedField name="Column13710"/>
      <deletedField name="Column13711"/>
      <deletedField name="Column13712"/>
      <deletedField name="Column13713"/>
      <deletedField name="Column13714"/>
      <deletedField name="Column13715"/>
      <deletedField name="Column13716"/>
      <deletedField name="Column13717"/>
      <deletedField name="Column13718"/>
      <deletedField name="Column13719"/>
      <deletedField name="Column13720"/>
      <deletedField name="Column13721"/>
      <deletedField name="Column13722"/>
      <deletedField name="Column13723"/>
      <deletedField name="Column13724"/>
      <deletedField name="Column13725"/>
      <deletedField name="Column13726"/>
      <deletedField name="Column13727"/>
      <deletedField name="Column13728"/>
      <deletedField name="Column13729"/>
      <deletedField name="Column13730"/>
      <deletedField name="Column13731"/>
      <deletedField name="Column13732"/>
      <deletedField name="Column13733"/>
      <deletedField name="Column13734"/>
      <deletedField name="Column13735"/>
      <deletedField name="Column13736"/>
      <deletedField name="Column13737"/>
      <deletedField name="Column13738"/>
      <deletedField name="Column13739"/>
      <deletedField name="Column13740"/>
      <deletedField name="Column13741"/>
      <deletedField name="Column13742"/>
      <deletedField name="Column13743"/>
      <deletedField name="Column13744"/>
      <deletedField name="Column13745"/>
      <deletedField name="Column13746"/>
      <deletedField name="Column13747"/>
      <deletedField name="Column13748"/>
      <deletedField name="Column13749"/>
      <deletedField name="Column13750"/>
      <deletedField name="Column13751"/>
      <deletedField name="Column13752"/>
      <deletedField name="Column13753"/>
      <deletedField name="Column13754"/>
      <deletedField name="Column13755"/>
      <deletedField name="Column13756"/>
      <deletedField name="Column13757"/>
      <deletedField name="Column13758"/>
      <deletedField name="Column13759"/>
      <deletedField name="Column13760"/>
      <deletedField name="Column13761"/>
      <deletedField name="Column13762"/>
      <deletedField name="Column13763"/>
      <deletedField name="Column13764"/>
      <deletedField name="Column13765"/>
      <deletedField name="Column13766"/>
      <deletedField name="Column13767"/>
      <deletedField name="Column13768"/>
      <deletedField name="Column13769"/>
      <deletedField name="Column13770"/>
      <deletedField name="Column13771"/>
      <deletedField name="Column13772"/>
      <deletedField name="Column13773"/>
      <deletedField name="Column13774"/>
      <deletedField name="Column13775"/>
      <deletedField name="Column13776"/>
      <deletedField name="Column13777"/>
      <deletedField name="Column13778"/>
      <deletedField name="Column13779"/>
      <deletedField name="Column13780"/>
      <deletedField name="Column13781"/>
      <deletedField name="Column13782"/>
      <deletedField name="Column13783"/>
      <deletedField name="Column13784"/>
      <deletedField name="Column13785"/>
      <deletedField name="Column13786"/>
      <deletedField name="Column13787"/>
      <deletedField name="Column13788"/>
      <deletedField name="Column13789"/>
      <deletedField name="Column13790"/>
      <deletedField name="Column13791"/>
      <deletedField name="Column13792"/>
      <deletedField name="Column13793"/>
      <deletedField name="Column13794"/>
      <deletedField name="Column13795"/>
      <deletedField name="Column13796"/>
      <deletedField name="Column13797"/>
      <deletedField name="Column13798"/>
      <deletedField name="Column13799"/>
      <deletedField name="Column13800"/>
      <deletedField name="Column13801"/>
      <deletedField name="Column13802"/>
      <deletedField name="Column13803"/>
      <deletedField name="Column13804"/>
      <deletedField name="Column13805"/>
      <deletedField name="Column13806"/>
      <deletedField name="Column13807"/>
      <deletedField name="Column13808"/>
      <deletedField name="Column13809"/>
      <deletedField name="Column13810"/>
      <deletedField name="Column13811"/>
      <deletedField name="Column13812"/>
      <deletedField name="Column13813"/>
      <deletedField name="Column13814"/>
      <deletedField name="Column13815"/>
      <deletedField name="Column13816"/>
      <deletedField name="Column13817"/>
      <deletedField name="Column13818"/>
      <deletedField name="Column13819"/>
      <deletedField name="Column13820"/>
      <deletedField name="Column13821"/>
      <deletedField name="Column13822"/>
      <deletedField name="Column13823"/>
      <deletedField name="Column13824"/>
      <deletedField name="Column13825"/>
      <deletedField name="Column13826"/>
      <deletedField name="Column13827"/>
      <deletedField name="Column13828"/>
      <deletedField name="Column13829"/>
      <deletedField name="Column13830"/>
      <deletedField name="Column13831"/>
      <deletedField name="Column13832"/>
      <deletedField name="Column13833"/>
      <deletedField name="Column13834"/>
      <deletedField name="Column13835"/>
      <deletedField name="Column13836"/>
      <deletedField name="Column13837"/>
      <deletedField name="Column13838"/>
      <deletedField name="Column13839"/>
      <deletedField name="Column13840"/>
      <deletedField name="Column13841"/>
      <deletedField name="Column13842"/>
      <deletedField name="Column13843"/>
      <deletedField name="Column13844"/>
      <deletedField name="Column13845"/>
      <deletedField name="Column13846"/>
      <deletedField name="Column13847"/>
      <deletedField name="Column13848"/>
      <deletedField name="Column13849"/>
      <deletedField name="Column13850"/>
      <deletedField name="Column13851"/>
      <deletedField name="Column13852"/>
      <deletedField name="Column13853"/>
      <deletedField name="Column13854"/>
      <deletedField name="Column13855"/>
      <deletedField name="Column13856"/>
      <deletedField name="Column13857"/>
      <deletedField name="Column13858"/>
      <deletedField name="Column13859"/>
      <deletedField name="Column13860"/>
      <deletedField name="Column13861"/>
      <deletedField name="Column13862"/>
      <deletedField name="Column13863"/>
      <deletedField name="Column13864"/>
      <deletedField name="Column13865"/>
      <deletedField name="Column13866"/>
      <deletedField name="Column13867"/>
      <deletedField name="Column13868"/>
      <deletedField name="Column13869"/>
      <deletedField name="Column13870"/>
      <deletedField name="Column13871"/>
      <deletedField name="Column13872"/>
      <deletedField name="Column13873"/>
      <deletedField name="Column13874"/>
      <deletedField name="Column13875"/>
      <deletedField name="Column13876"/>
      <deletedField name="Column13877"/>
      <deletedField name="Column13878"/>
      <deletedField name="Column13879"/>
      <deletedField name="Column13880"/>
      <deletedField name="Column13881"/>
      <deletedField name="Column13882"/>
      <deletedField name="Column13883"/>
      <deletedField name="Column13884"/>
      <deletedField name="Column13885"/>
      <deletedField name="Column13886"/>
      <deletedField name="Column13887"/>
      <deletedField name="Column13888"/>
      <deletedField name="Column13889"/>
      <deletedField name="Column13890"/>
      <deletedField name="Column13891"/>
      <deletedField name="Column13892"/>
      <deletedField name="Column13893"/>
      <deletedField name="Column13894"/>
      <deletedField name="Column13895"/>
      <deletedField name="Column13896"/>
      <deletedField name="Column13897"/>
      <deletedField name="Column13898"/>
      <deletedField name="Column13899"/>
      <deletedField name="Column13900"/>
      <deletedField name="Column13901"/>
      <deletedField name="Column13902"/>
      <deletedField name="Column13903"/>
      <deletedField name="Column13904"/>
      <deletedField name="Column13905"/>
      <deletedField name="Column13906"/>
      <deletedField name="Column13907"/>
      <deletedField name="Column13908"/>
      <deletedField name="Column13909"/>
      <deletedField name="Column13910"/>
      <deletedField name="Column13911"/>
      <deletedField name="Column13912"/>
      <deletedField name="Column13913"/>
      <deletedField name="Column13914"/>
      <deletedField name="Column13915"/>
      <deletedField name="Column13916"/>
      <deletedField name="Column13917"/>
      <deletedField name="Column13918"/>
      <deletedField name="Column13919"/>
      <deletedField name="Column13920"/>
      <deletedField name="Column13921"/>
      <deletedField name="Column13922"/>
      <deletedField name="Column13923"/>
      <deletedField name="Column13924"/>
      <deletedField name="Column13925"/>
      <deletedField name="Column13926"/>
      <deletedField name="Column13927"/>
      <deletedField name="Column13928"/>
      <deletedField name="Column13929"/>
      <deletedField name="Column13930"/>
      <deletedField name="Column13931"/>
      <deletedField name="Column13932"/>
      <deletedField name="Column13933"/>
      <deletedField name="Column13934"/>
      <deletedField name="Column13935"/>
      <deletedField name="Column13936"/>
      <deletedField name="Column13937"/>
      <deletedField name="Column13938"/>
      <deletedField name="Column13939"/>
      <deletedField name="Column13940"/>
      <deletedField name="Column13941"/>
      <deletedField name="Column13942"/>
      <deletedField name="Column13943"/>
      <deletedField name="Column13944"/>
      <deletedField name="Column13945"/>
      <deletedField name="Column13946"/>
      <deletedField name="Column13947"/>
      <deletedField name="Column13948"/>
      <deletedField name="Column13949"/>
      <deletedField name="Column13950"/>
      <deletedField name="Column13951"/>
      <deletedField name="Column13952"/>
      <deletedField name="Column13953"/>
      <deletedField name="Column13954"/>
      <deletedField name="Column13955"/>
      <deletedField name="Column13956"/>
      <deletedField name="Column13957"/>
      <deletedField name="Column13958"/>
      <deletedField name="Column13959"/>
      <deletedField name="Column13960"/>
      <deletedField name="Column13961"/>
      <deletedField name="Column13962"/>
      <deletedField name="Column13963"/>
      <deletedField name="Column13964"/>
      <deletedField name="Column13965"/>
      <deletedField name="Column13966"/>
      <deletedField name="Column13967"/>
      <deletedField name="Column13968"/>
      <deletedField name="Column13969"/>
      <deletedField name="Column13970"/>
      <deletedField name="Column13971"/>
      <deletedField name="Column13972"/>
      <deletedField name="Column13973"/>
      <deletedField name="Column13974"/>
      <deletedField name="Column13975"/>
      <deletedField name="Column13976"/>
      <deletedField name="Column13977"/>
      <deletedField name="Column13978"/>
      <deletedField name="Column13979"/>
      <deletedField name="Column13980"/>
      <deletedField name="Column13981"/>
      <deletedField name="Column13982"/>
      <deletedField name="Column13983"/>
      <deletedField name="Column13984"/>
      <deletedField name="Column13985"/>
      <deletedField name="Column13986"/>
      <deletedField name="Column13987"/>
      <deletedField name="Column13988"/>
      <deletedField name="Column13989"/>
      <deletedField name="Column13990"/>
      <deletedField name="Column13991"/>
      <deletedField name="Column13992"/>
      <deletedField name="Column13993"/>
      <deletedField name="Column13994"/>
      <deletedField name="Column13995"/>
      <deletedField name="Column13996"/>
      <deletedField name="Column13997"/>
      <deletedField name="Column13998"/>
      <deletedField name="Column13999"/>
      <deletedField name="Column14000"/>
      <deletedField name="Column14001"/>
      <deletedField name="Column14002"/>
      <deletedField name="Column14003"/>
      <deletedField name="Column14004"/>
      <deletedField name="Column14005"/>
      <deletedField name="Column14006"/>
      <deletedField name="Column14007"/>
      <deletedField name="Column14008"/>
      <deletedField name="Column14009"/>
      <deletedField name="Column14010"/>
      <deletedField name="Column14011"/>
      <deletedField name="Column14012"/>
      <deletedField name="Column14013"/>
      <deletedField name="Column14014"/>
      <deletedField name="Column14015"/>
      <deletedField name="Column14016"/>
      <deletedField name="Column14017"/>
      <deletedField name="Column14018"/>
      <deletedField name="Column14019"/>
      <deletedField name="Column14020"/>
      <deletedField name="Column14021"/>
      <deletedField name="Column14022"/>
      <deletedField name="Column14023"/>
      <deletedField name="Column14024"/>
      <deletedField name="Column14025"/>
      <deletedField name="Column14026"/>
      <deletedField name="Column14027"/>
      <deletedField name="Column14028"/>
      <deletedField name="Column14029"/>
      <deletedField name="Column14030"/>
      <deletedField name="Column14031"/>
      <deletedField name="Column14032"/>
      <deletedField name="Column14033"/>
      <deletedField name="Column14034"/>
      <deletedField name="Column14035"/>
      <deletedField name="Column14036"/>
      <deletedField name="Column14037"/>
      <deletedField name="Column14038"/>
      <deletedField name="Column14039"/>
      <deletedField name="Column14040"/>
      <deletedField name="Column14041"/>
      <deletedField name="Column14042"/>
      <deletedField name="Column14043"/>
      <deletedField name="Column14044"/>
      <deletedField name="Column14045"/>
      <deletedField name="Column14046"/>
      <deletedField name="Column14047"/>
      <deletedField name="Column14048"/>
      <deletedField name="Column14049"/>
      <deletedField name="Column14050"/>
      <deletedField name="Column14051"/>
      <deletedField name="Column14052"/>
      <deletedField name="Column14053"/>
      <deletedField name="Column14054"/>
      <deletedField name="Column14055"/>
      <deletedField name="Column14056"/>
      <deletedField name="Column14057"/>
      <deletedField name="Column14058"/>
      <deletedField name="Column14059"/>
      <deletedField name="Column14060"/>
      <deletedField name="Column14061"/>
      <deletedField name="Column14062"/>
      <deletedField name="Column14063"/>
      <deletedField name="Column14064"/>
      <deletedField name="Column14065"/>
      <deletedField name="Column14066"/>
      <deletedField name="Column14067"/>
      <deletedField name="Column14068"/>
      <deletedField name="Column14069"/>
      <deletedField name="Column14070"/>
      <deletedField name="Column14071"/>
      <deletedField name="Column14072"/>
      <deletedField name="Column14073"/>
      <deletedField name="Column14074"/>
      <deletedField name="Column14075"/>
      <deletedField name="Column14076"/>
      <deletedField name="Column14077"/>
      <deletedField name="Column14078"/>
      <deletedField name="Column14079"/>
      <deletedField name="Column14080"/>
      <deletedField name="Column14081"/>
      <deletedField name="Column14082"/>
      <deletedField name="Column14083"/>
      <deletedField name="Column14084"/>
      <deletedField name="Column14085"/>
      <deletedField name="Column14086"/>
      <deletedField name="Column14087"/>
      <deletedField name="Column14088"/>
      <deletedField name="Column14089"/>
      <deletedField name="Column14090"/>
      <deletedField name="Column14091"/>
      <deletedField name="Column14092"/>
      <deletedField name="Column14093"/>
      <deletedField name="Column14094"/>
      <deletedField name="Column14095"/>
      <deletedField name="Column14096"/>
      <deletedField name="Column14097"/>
      <deletedField name="Column14098"/>
      <deletedField name="Column14099"/>
      <deletedField name="Column14100"/>
      <deletedField name="Column14101"/>
      <deletedField name="Column14102"/>
      <deletedField name="Column14103"/>
      <deletedField name="Column14104"/>
      <deletedField name="Column14105"/>
      <deletedField name="Column14106"/>
      <deletedField name="Column14107"/>
      <deletedField name="Column14108"/>
      <deletedField name="Column14109"/>
      <deletedField name="Column14110"/>
      <deletedField name="Column14111"/>
      <deletedField name="Column14112"/>
      <deletedField name="Column14113"/>
      <deletedField name="Column14114"/>
      <deletedField name="Column14115"/>
      <deletedField name="Column14116"/>
      <deletedField name="Column14117"/>
      <deletedField name="Column14118"/>
      <deletedField name="Column14119"/>
      <deletedField name="Column14120"/>
      <deletedField name="Column14121"/>
      <deletedField name="Column14122"/>
      <deletedField name="Column14123"/>
      <deletedField name="Column14124"/>
      <deletedField name="Column14125"/>
      <deletedField name="Column14126"/>
      <deletedField name="Column14127"/>
      <deletedField name="Column14128"/>
      <deletedField name="Column14129"/>
      <deletedField name="Column14130"/>
      <deletedField name="Column14131"/>
      <deletedField name="Column14132"/>
      <deletedField name="Column14133"/>
      <deletedField name="Column14134"/>
      <deletedField name="Column14135"/>
      <deletedField name="Column14136"/>
      <deletedField name="Column14137"/>
      <deletedField name="Column14138"/>
      <deletedField name="Column14139"/>
      <deletedField name="Column14140"/>
      <deletedField name="Column14141"/>
      <deletedField name="Column14142"/>
      <deletedField name="Column14143"/>
      <deletedField name="Column14144"/>
      <deletedField name="Column14145"/>
      <deletedField name="Column14146"/>
      <deletedField name="Column14147"/>
      <deletedField name="Column14148"/>
      <deletedField name="Column14149"/>
      <deletedField name="Column14150"/>
      <deletedField name="Column14151"/>
      <deletedField name="Column14152"/>
      <deletedField name="Column14153"/>
      <deletedField name="Column14154"/>
      <deletedField name="Column14155"/>
      <deletedField name="Column14156"/>
      <deletedField name="Column14157"/>
      <deletedField name="Column14158"/>
      <deletedField name="Column14159"/>
      <deletedField name="Column14160"/>
      <deletedField name="Column14161"/>
      <deletedField name="Column14162"/>
      <deletedField name="Column14163"/>
      <deletedField name="Column14164"/>
      <deletedField name="Column14165"/>
      <deletedField name="Column14166"/>
      <deletedField name="Column14167"/>
      <deletedField name="Column14168"/>
      <deletedField name="Column14169"/>
      <deletedField name="Column14170"/>
      <deletedField name="Column14171"/>
      <deletedField name="Column14172"/>
      <deletedField name="Column14173"/>
      <deletedField name="Column14174"/>
      <deletedField name="Column14175"/>
      <deletedField name="Column14176"/>
      <deletedField name="Column14177"/>
      <deletedField name="Column14178"/>
      <deletedField name="Column14179"/>
      <deletedField name="Column14180"/>
      <deletedField name="Column14181"/>
      <deletedField name="Column14182"/>
      <deletedField name="Column14183"/>
      <deletedField name="Column14184"/>
      <deletedField name="Column14185"/>
      <deletedField name="Column14186"/>
      <deletedField name="Column14187"/>
      <deletedField name="Column14188"/>
      <deletedField name="Column14189"/>
      <deletedField name="Column14190"/>
      <deletedField name="Column14191"/>
      <deletedField name="Column14192"/>
      <deletedField name="Column14193"/>
      <deletedField name="Column14194"/>
      <deletedField name="Column14195"/>
      <deletedField name="Column14196"/>
      <deletedField name="Column14197"/>
      <deletedField name="Column14198"/>
      <deletedField name="Column14199"/>
      <deletedField name="Column14200"/>
      <deletedField name="Column14201"/>
      <deletedField name="Column14202"/>
      <deletedField name="Column14203"/>
      <deletedField name="Column14204"/>
      <deletedField name="Column14205"/>
      <deletedField name="Column14206"/>
      <deletedField name="Column14207"/>
      <deletedField name="Column14208"/>
      <deletedField name="Column14209"/>
      <deletedField name="Column14210"/>
      <deletedField name="Column14211"/>
      <deletedField name="Column14212"/>
      <deletedField name="Column14213"/>
      <deletedField name="Column14214"/>
      <deletedField name="Column14215"/>
      <deletedField name="Column14216"/>
      <deletedField name="Column14217"/>
      <deletedField name="Column14218"/>
      <deletedField name="Column14219"/>
      <deletedField name="Column14220"/>
      <deletedField name="Column14221"/>
      <deletedField name="Column14222"/>
      <deletedField name="Column14223"/>
      <deletedField name="Column14224"/>
      <deletedField name="Column14225"/>
      <deletedField name="Column14226"/>
      <deletedField name="Column14227"/>
      <deletedField name="Column14228"/>
      <deletedField name="Column14229"/>
      <deletedField name="Column14230"/>
      <deletedField name="Column14231"/>
      <deletedField name="Column14232"/>
      <deletedField name="Column14233"/>
      <deletedField name="Column14234"/>
      <deletedField name="Column14235"/>
      <deletedField name="Column14236"/>
      <deletedField name="Column14237"/>
      <deletedField name="Column14238"/>
      <deletedField name="Column14239"/>
      <deletedField name="Column14240"/>
      <deletedField name="Column14241"/>
      <deletedField name="Column14242"/>
      <deletedField name="Column14243"/>
      <deletedField name="Column14244"/>
      <deletedField name="Column14245"/>
      <deletedField name="Column14246"/>
      <deletedField name="Column14247"/>
      <deletedField name="Column14248"/>
      <deletedField name="Column14249"/>
      <deletedField name="Column14250"/>
      <deletedField name="Column14251"/>
      <deletedField name="Column14252"/>
      <deletedField name="Column14253"/>
      <deletedField name="Column14254"/>
      <deletedField name="Column14255"/>
      <deletedField name="Column14256"/>
      <deletedField name="Column14257"/>
      <deletedField name="Column14258"/>
      <deletedField name="Column14259"/>
      <deletedField name="Column14260"/>
      <deletedField name="Column14261"/>
      <deletedField name="Column14262"/>
      <deletedField name="Column14263"/>
      <deletedField name="Column14264"/>
      <deletedField name="Column14265"/>
      <deletedField name="Column14266"/>
      <deletedField name="Column14267"/>
      <deletedField name="Column14268"/>
      <deletedField name="Column14269"/>
      <deletedField name="Column14270"/>
      <deletedField name="Column14271"/>
      <deletedField name="Column14272"/>
      <deletedField name="Column14273"/>
      <deletedField name="Column14274"/>
      <deletedField name="Column14275"/>
      <deletedField name="Column14276"/>
      <deletedField name="Column14277"/>
      <deletedField name="Column14278"/>
      <deletedField name="Column14279"/>
      <deletedField name="Column14280"/>
      <deletedField name="Column14281"/>
      <deletedField name="Column14282"/>
      <deletedField name="Column14283"/>
      <deletedField name="Column14284"/>
      <deletedField name="Column14285"/>
      <deletedField name="Column14286"/>
      <deletedField name="Column14287"/>
      <deletedField name="Column14288"/>
      <deletedField name="Column14289"/>
      <deletedField name="Column14290"/>
      <deletedField name="Column14291"/>
      <deletedField name="Column14292"/>
      <deletedField name="Column14293"/>
      <deletedField name="Column14294"/>
      <deletedField name="Column14295"/>
      <deletedField name="Column14296"/>
      <deletedField name="Column14297"/>
      <deletedField name="Column14298"/>
      <deletedField name="Column14299"/>
      <deletedField name="Column14300"/>
      <deletedField name="Column14301"/>
      <deletedField name="Column14302"/>
      <deletedField name="Column14303"/>
      <deletedField name="Column14304"/>
      <deletedField name="Column14305"/>
      <deletedField name="Column14306"/>
      <deletedField name="Column14307"/>
      <deletedField name="Column14308"/>
      <deletedField name="Column14309"/>
      <deletedField name="Column14310"/>
      <deletedField name="Column14311"/>
      <deletedField name="Column14312"/>
      <deletedField name="Column14313"/>
      <deletedField name="Column14314"/>
      <deletedField name="Column14315"/>
      <deletedField name="Column14316"/>
      <deletedField name="Column14317"/>
      <deletedField name="Column14318"/>
      <deletedField name="Column14319"/>
      <deletedField name="Column14320"/>
      <deletedField name="Column14321"/>
      <deletedField name="Column14322"/>
      <deletedField name="Column14323"/>
      <deletedField name="Column14324"/>
      <deletedField name="Column14325"/>
      <deletedField name="Column14326"/>
      <deletedField name="Column14327"/>
      <deletedField name="Column14328"/>
      <deletedField name="Column14329"/>
      <deletedField name="Column14330"/>
      <deletedField name="Column14331"/>
      <deletedField name="Column14332"/>
      <deletedField name="Column14333"/>
      <deletedField name="Column14334"/>
      <deletedField name="Column14335"/>
      <deletedField name="Column14336"/>
      <deletedField name="Column14337"/>
      <deletedField name="Column14338"/>
      <deletedField name="Column14339"/>
      <deletedField name="Column14340"/>
      <deletedField name="Column14341"/>
      <deletedField name="Column14342"/>
      <deletedField name="Column14343"/>
      <deletedField name="Column14344"/>
      <deletedField name="Column14345"/>
      <deletedField name="Column14346"/>
      <deletedField name="Column14347"/>
      <deletedField name="Column14348"/>
      <deletedField name="Column14349"/>
      <deletedField name="Column14350"/>
      <deletedField name="Column14351"/>
      <deletedField name="Column14352"/>
      <deletedField name="Column14353"/>
      <deletedField name="Column14354"/>
      <deletedField name="Column14355"/>
      <deletedField name="Column14356"/>
      <deletedField name="Column14357"/>
      <deletedField name="Column14358"/>
      <deletedField name="Column14359"/>
      <deletedField name="Column14360"/>
      <deletedField name="Column14361"/>
      <deletedField name="Column14362"/>
      <deletedField name="Column14363"/>
      <deletedField name="Column14364"/>
      <deletedField name="Column14365"/>
      <deletedField name="Column14366"/>
      <deletedField name="Column14367"/>
      <deletedField name="Column14368"/>
      <deletedField name="Column14369"/>
      <deletedField name="Column14370"/>
      <deletedField name="Column14371"/>
      <deletedField name="Column14372"/>
      <deletedField name="Column14373"/>
      <deletedField name="Column14374"/>
      <deletedField name="Column14375"/>
      <deletedField name="Column14376"/>
      <deletedField name="Column14377"/>
      <deletedField name="Column14378"/>
      <deletedField name="Column14379"/>
      <deletedField name="Column14380"/>
      <deletedField name="Column14381"/>
      <deletedField name="Column14382"/>
      <deletedField name="Column14383"/>
      <deletedField name="Column14384"/>
      <deletedField name="Column14385"/>
      <deletedField name="Column14386"/>
      <deletedField name="Column14387"/>
      <deletedField name="Column14388"/>
      <deletedField name="Column14389"/>
      <deletedField name="Column14390"/>
      <deletedField name="Column14391"/>
      <deletedField name="Column14392"/>
      <deletedField name="Column14393"/>
      <deletedField name="Column14394"/>
      <deletedField name="Column14395"/>
      <deletedField name="Column14396"/>
      <deletedField name="Column14397"/>
      <deletedField name="Column14398"/>
      <deletedField name="Column14399"/>
      <deletedField name="Column14400"/>
      <deletedField name="Column14401"/>
      <deletedField name="Column14402"/>
      <deletedField name="Column14403"/>
      <deletedField name="Column14404"/>
      <deletedField name="Column14405"/>
      <deletedField name="Column14406"/>
      <deletedField name="Column14407"/>
      <deletedField name="Column14408"/>
      <deletedField name="Column14409"/>
      <deletedField name="Column14410"/>
      <deletedField name="Column14411"/>
      <deletedField name="Column14412"/>
      <deletedField name="Column14413"/>
      <deletedField name="Column14414"/>
      <deletedField name="Column14415"/>
      <deletedField name="Column14416"/>
      <deletedField name="Column14417"/>
      <deletedField name="Column14418"/>
      <deletedField name="Column14419"/>
      <deletedField name="Column14420"/>
      <deletedField name="Column14421"/>
      <deletedField name="Column14422"/>
      <deletedField name="Column14423"/>
      <deletedField name="Column14424"/>
      <deletedField name="Column14425"/>
      <deletedField name="Column14426"/>
      <deletedField name="Column14427"/>
      <deletedField name="Column14428"/>
      <deletedField name="Column14429"/>
      <deletedField name="Column14430"/>
      <deletedField name="Column14431"/>
      <deletedField name="Column14432"/>
      <deletedField name="Column14433"/>
      <deletedField name="Column14434"/>
      <deletedField name="Column14435"/>
      <deletedField name="Column14436"/>
      <deletedField name="Column14437"/>
      <deletedField name="Column14438"/>
      <deletedField name="Column14439"/>
      <deletedField name="Column14440"/>
      <deletedField name="Column14441"/>
      <deletedField name="Column14442"/>
      <deletedField name="Column14443"/>
      <deletedField name="Column14444"/>
      <deletedField name="Column14445"/>
      <deletedField name="Column14446"/>
      <deletedField name="Column14447"/>
      <deletedField name="Column14448"/>
      <deletedField name="Column14449"/>
      <deletedField name="Column14450"/>
      <deletedField name="Column14451"/>
      <deletedField name="Column14452"/>
      <deletedField name="Column14453"/>
      <deletedField name="Column14454"/>
      <deletedField name="Column14455"/>
      <deletedField name="Column14456"/>
      <deletedField name="Column14457"/>
      <deletedField name="Column14458"/>
      <deletedField name="Column14459"/>
      <deletedField name="Column14460"/>
      <deletedField name="Column14461"/>
      <deletedField name="Column14462"/>
      <deletedField name="Column14463"/>
      <deletedField name="Column14464"/>
      <deletedField name="Column14465"/>
      <deletedField name="Column14466"/>
      <deletedField name="Column14467"/>
      <deletedField name="Column14468"/>
      <deletedField name="Column14469"/>
      <deletedField name="Column14470"/>
      <deletedField name="Column14471"/>
      <deletedField name="Column14472"/>
      <deletedField name="Column14473"/>
      <deletedField name="Column14474"/>
      <deletedField name="Column14475"/>
      <deletedField name="Column14476"/>
      <deletedField name="Column14477"/>
      <deletedField name="Column14478"/>
      <deletedField name="Column14479"/>
      <deletedField name="Column14480"/>
      <deletedField name="Column14481"/>
      <deletedField name="Column14482"/>
      <deletedField name="Column14483"/>
      <deletedField name="Column14484"/>
      <deletedField name="Column14485"/>
      <deletedField name="Column14486"/>
      <deletedField name="Column14487"/>
      <deletedField name="Column14488"/>
      <deletedField name="Column14489"/>
      <deletedField name="Column14490"/>
      <deletedField name="Column14491"/>
      <deletedField name="Column14492"/>
      <deletedField name="Column14493"/>
      <deletedField name="Column14494"/>
      <deletedField name="Column14495"/>
      <deletedField name="Column14496"/>
      <deletedField name="Column14497"/>
      <deletedField name="Column14498"/>
      <deletedField name="Column14499"/>
      <deletedField name="Column14500"/>
      <deletedField name="Column14501"/>
      <deletedField name="Column14502"/>
      <deletedField name="Column14503"/>
      <deletedField name="Column14504"/>
      <deletedField name="Column14505"/>
      <deletedField name="Column14506"/>
      <deletedField name="Column14507"/>
      <deletedField name="Column14508"/>
      <deletedField name="Column14509"/>
      <deletedField name="Column14510"/>
      <deletedField name="Column14511"/>
      <deletedField name="Column14512"/>
      <deletedField name="Column14513"/>
      <deletedField name="Column14514"/>
      <deletedField name="Column14515"/>
      <deletedField name="Column14516"/>
      <deletedField name="Column14517"/>
      <deletedField name="Column14518"/>
      <deletedField name="Column14519"/>
      <deletedField name="Column14520"/>
      <deletedField name="Column14521"/>
      <deletedField name="Column14522"/>
      <deletedField name="Column14523"/>
      <deletedField name="Column14524"/>
      <deletedField name="Column14525"/>
      <deletedField name="Column14526"/>
      <deletedField name="Column14527"/>
      <deletedField name="Column14528"/>
      <deletedField name="Column14529"/>
      <deletedField name="Column14530"/>
      <deletedField name="Column14531"/>
      <deletedField name="Column14532"/>
      <deletedField name="Column14533"/>
      <deletedField name="Column14534"/>
      <deletedField name="Column14535"/>
      <deletedField name="Column14536"/>
      <deletedField name="Column14537"/>
      <deletedField name="Column14538"/>
      <deletedField name="Column14539"/>
      <deletedField name="Column14540"/>
      <deletedField name="Column14541"/>
      <deletedField name="Column14542"/>
      <deletedField name="Column14543"/>
      <deletedField name="Column14544"/>
      <deletedField name="Column14545"/>
      <deletedField name="Column14546"/>
      <deletedField name="Column14547"/>
      <deletedField name="Column14548"/>
      <deletedField name="Column14549"/>
      <deletedField name="Column14550"/>
      <deletedField name="Column14551"/>
      <deletedField name="Column14552"/>
      <deletedField name="Column14553"/>
      <deletedField name="Column14554"/>
      <deletedField name="Column14555"/>
      <deletedField name="Column14556"/>
      <deletedField name="Column14557"/>
      <deletedField name="Column14558"/>
      <deletedField name="Column14559"/>
      <deletedField name="Column14560"/>
      <deletedField name="Column14561"/>
      <deletedField name="Column14562"/>
      <deletedField name="Column14563"/>
      <deletedField name="Column14564"/>
      <deletedField name="Column14565"/>
      <deletedField name="Column14566"/>
      <deletedField name="Column14567"/>
      <deletedField name="Column14568"/>
      <deletedField name="Column14569"/>
      <deletedField name="Column14570"/>
      <deletedField name="Column14571"/>
      <deletedField name="Column14572"/>
      <deletedField name="Column14573"/>
      <deletedField name="Column14574"/>
      <deletedField name="Column14575"/>
      <deletedField name="Column14576"/>
      <deletedField name="Column14577"/>
      <deletedField name="Column14578"/>
      <deletedField name="Column14579"/>
      <deletedField name="Column14580"/>
      <deletedField name="Column14581"/>
      <deletedField name="Column14582"/>
      <deletedField name="Column14583"/>
      <deletedField name="Column14584"/>
      <deletedField name="Column14585"/>
      <deletedField name="Column14586"/>
      <deletedField name="Column14587"/>
      <deletedField name="Column14588"/>
      <deletedField name="Column14589"/>
      <deletedField name="Column14590"/>
      <deletedField name="Column14591"/>
      <deletedField name="Column14592"/>
      <deletedField name="Column14593"/>
      <deletedField name="Column14594"/>
      <deletedField name="Column14595"/>
      <deletedField name="Column14596"/>
      <deletedField name="Column14597"/>
      <deletedField name="Column14598"/>
      <deletedField name="Column14599"/>
      <deletedField name="Column14600"/>
      <deletedField name="Column14601"/>
      <deletedField name="Column14602"/>
      <deletedField name="Column14603"/>
      <deletedField name="Column14604"/>
      <deletedField name="Column14605"/>
      <deletedField name="Column14606"/>
      <deletedField name="Column14607"/>
      <deletedField name="Column14608"/>
      <deletedField name="Column14609"/>
      <deletedField name="Column14610"/>
      <deletedField name="Column14611"/>
      <deletedField name="Column14612"/>
      <deletedField name="Column14613"/>
      <deletedField name="Column14614"/>
      <deletedField name="Column14615"/>
      <deletedField name="Column14616"/>
      <deletedField name="Column14617"/>
      <deletedField name="Column14618"/>
      <deletedField name="Column14619"/>
      <deletedField name="Column14620"/>
      <deletedField name="Column14621"/>
      <deletedField name="Column14622"/>
      <deletedField name="Column14623"/>
      <deletedField name="Column14624"/>
      <deletedField name="Column14625"/>
      <deletedField name="Column14626"/>
      <deletedField name="Column14627"/>
      <deletedField name="Column14628"/>
      <deletedField name="Column14629"/>
      <deletedField name="Column14630"/>
      <deletedField name="Column14631"/>
      <deletedField name="Column14632"/>
      <deletedField name="Column14633"/>
      <deletedField name="Column14634"/>
      <deletedField name="Column14635"/>
      <deletedField name="Column14636"/>
      <deletedField name="Column14637"/>
      <deletedField name="Column14638"/>
      <deletedField name="Column14639"/>
      <deletedField name="Column14640"/>
      <deletedField name="Column14641"/>
      <deletedField name="Column14642"/>
      <deletedField name="Column14643"/>
      <deletedField name="Column14644"/>
      <deletedField name="Column14645"/>
      <deletedField name="Column14646"/>
      <deletedField name="Column14647"/>
      <deletedField name="Column14648"/>
      <deletedField name="Column14649"/>
      <deletedField name="Column14650"/>
      <deletedField name="Column14651"/>
      <deletedField name="Column14652"/>
      <deletedField name="Column14653"/>
      <deletedField name="Column14654"/>
      <deletedField name="Column14655"/>
      <deletedField name="Column14656"/>
      <deletedField name="Column14657"/>
      <deletedField name="Column14658"/>
      <deletedField name="Column14659"/>
      <deletedField name="Column14660"/>
      <deletedField name="Column14661"/>
      <deletedField name="Column14662"/>
      <deletedField name="Column14663"/>
      <deletedField name="Column14664"/>
      <deletedField name="Column14665"/>
      <deletedField name="Column14666"/>
      <deletedField name="Column14667"/>
      <deletedField name="Column14668"/>
      <deletedField name="Column14669"/>
      <deletedField name="Column14670"/>
      <deletedField name="Column14671"/>
      <deletedField name="Column14672"/>
      <deletedField name="Column14673"/>
      <deletedField name="Column14674"/>
      <deletedField name="Column14675"/>
      <deletedField name="Column14676"/>
      <deletedField name="Column14677"/>
      <deletedField name="Column14678"/>
      <deletedField name="Column14679"/>
      <deletedField name="Column14680"/>
      <deletedField name="Column14681"/>
      <deletedField name="Column14682"/>
      <deletedField name="Column14683"/>
      <deletedField name="Column14684"/>
      <deletedField name="Column14685"/>
      <deletedField name="Column14686"/>
      <deletedField name="Column14687"/>
      <deletedField name="Column14688"/>
      <deletedField name="Column14689"/>
      <deletedField name="Column14690"/>
      <deletedField name="Column14691"/>
      <deletedField name="Column14692"/>
      <deletedField name="Column14693"/>
      <deletedField name="Column14694"/>
      <deletedField name="Column14695"/>
      <deletedField name="Column14696"/>
      <deletedField name="Column14697"/>
      <deletedField name="Column14698"/>
      <deletedField name="Column14699"/>
      <deletedField name="Column14700"/>
      <deletedField name="Column14701"/>
      <deletedField name="Column14702"/>
      <deletedField name="Column14703"/>
      <deletedField name="Column14704"/>
      <deletedField name="Column14705"/>
      <deletedField name="Column14706"/>
      <deletedField name="Column14707"/>
      <deletedField name="Column14708"/>
      <deletedField name="Column14709"/>
      <deletedField name="Column14710"/>
      <deletedField name="Column14711"/>
      <deletedField name="Column14712"/>
      <deletedField name="Column14713"/>
      <deletedField name="Column14714"/>
      <deletedField name="Column14715"/>
      <deletedField name="Column14716"/>
      <deletedField name="Column14717"/>
      <deletedField name="Column14718"/>
      <deletedField name="Column14719"/>
      <deletedField name="Column14720"/>
      <deletedField name="Column14721"/>
      <deletedField name="Column14722"/>
      <deletedField name="Column14723"/>
      <deletedField name="Column14724"/>
      <deletedField name="Column14725"/>
      <deletedField name="Column14726"/>
      <deletedField name="Column14727"/>
      <deletedField name="Column14728"/>
      <deletedField name="Column14729"/>
      <deletedField name="Column14730"/>
      <deletedField name="Column14731"/>
      <deletedField name="Column14732"/>
      <deletedField name="Column14733"/>
      <deletedField name="Column14734"/>
      <deletedField name="Column14735"/>
      <deletedField name="Column14736"/>
      <deletedField name="Column14737"/>
      <deletedField name="Column14738"/>
      <deletedField name="Column14739"/>
      <deletedField name="Column14740"/>
      <deletedField name="Column14741"/>
      <deletedField name="Column14742"/>
      <deletedField name="Column14743"/>
      <deletedField name="Column14744"/>
      <deletedField name="Column14745"/>
      <deletedField name="Column14746"/>
      <deletedField name="Column14747"/>
      <deletedField name="Column14748"/>
      <deletedField name="Column14749"/>
      <deletedField name="Column14750"/>
      <deletedField name="Column14751"/>
      <deletedField name="Column14752"/>
      <deletedField name="Column14753"/>
      <deletedField name="Column14754"/>
      <deletedField name="Column14755"/>
      <deletedField name="Column14756"/>
      <deletedField name="Column14757"/>
      <deletedField name="Column14758"/>
      <deletedField name="Column14759"/>
      <deletedField name="Column14760"/>
      <deletedField name="Column14761"/>
      <deletedField name="Column14762"/>
      <deletedField name="Column14763"/>
      <deletedField name="Column14764"/>
      <deletedField name="Column14765"/>
      <deletedField name="Column14766"/>
      <deletedField name="Column14767"/>
      <deletedField name="Column14768"/>
      <deletedField name="Column14769"/>
      <deletedField name="Column14770"/>
      <deletedField name="Column14771"/>
      <deletedField name="Column14772"/>
      <deletedField name="Column14773"/>
      <deletedField name="Column14774"/>
      <deletedField name="Column14775"/>
      <deletedField name="Column14776"/>
      <deletedField name="Column14777"/>
      <deletedField name="Column14778"/>
      <deletedField name="Column14779"/>
      <deletedField name="Column14780"/>
      <deletedField name="Column14781"/>
      <deletedField name="Column14782"/>
      <deletedField name="Column14783"/>
      <deletedField name="Column14784"/>
      <deletedField name="Column14785"/>
      <deletedField name="Column14786"/>
      <deletedField name="Column14787"/>
      <deletedField name="Column14788"/>
      <deletedField name="Column14789"/>
      <deletedField name="Column14790"/>
      <deletedField name="Column14791"/>
      <deletedField name="Column14792"/>
      <deletedField name="Column14793"/>
      <deletedField name="Column14794"/>
      <deletedField name="Column14795"/>
      <deletedField name="Column14796"/>
      <deletedField name="Column14797"/>
      <deletedField name="Column14798"/>
      <deletedField name="Column14799"/>
      <deletedField name="Column14800"/>
      <deletedField name="Column14801"/>
      <deletedField name="Column14802"/>
      <deletedField name="Column14803"/>
      <deletedField name="Column14804"/>
      <deletedField name="Column14805"/>
      <deletedField name="Column14806"/>
      <deletedField name="Column14807"/>
      <deletedField name="Column14808"/>
      <deletedField name="Column14809"/>
      <deletedField name="Column14810"/>
      <deletedField name="Column14811"/>
      <deletedField name="Column14812"/>
      <deletedField name="Column14813"/>
      <deletedField name="Column14814"/>
      <deletedField name="Column14815"/>
      <deletedField name="Column14816"/>
      <deletedField name="Column14817"/>
      <deletedField name="Column14818"/>
      <deletedField name="Column14819"/>
      <deletedField name="Column14820"/>
      <deletedField name="Column14821"/>
      <deletedField name="Column14822"/>
      <deletedField name="Column14823"/>
      <deletedField name="Column14824"/>
      <deletedField name="Column14825"/>
      <deletedField name="Column14826"/>
      <deletedField name="Column14827"/>
      <deletedField name="Column14828"/>
      <deletedField name="Column14829"/>
      <deletedField name="Column14830"/>
      <deletedField name="Column14831"/>
      <deletedField name="Column14832"/>
      <deletedField name="Column14833"/>
      <deletedField name="Column14834"/>
      <deletedField name="Column14835"/>
      <deletedField name="Column14836"/>
      <deletedField name="Column14837"/>
      <deletedField name="Column14838"/>
      <deletedField name="Column14839"/>
      <deletedField name="Column14840"/>
      <deletedField name="Column14841"/>
      <deletedField name="Column14842"/>
      <deletedField name="Column14843"/>
      <deletedField name="Column14844"/>
      <deletedField name="Column14845"/>
      <deletedField name="Column14846"/>
      <deletedField name="Column14847"/>
      <deletedField name="Column14848"/>
      <deletedField name="Column14849"/>
      <deletedField name="Column14850"/>
      <deletedField name="Column14851"/>
      <deletedField name="Column14852"/>
      <deletedField name="Column14853"/>
      <deletedField name="Column14854"/>
      <deletedField name="Column14855"/>
      <deletedField name="Column14856"/>
      <deletedField name="Column14857"/>
      <deletedField name="Column14858"/>
      <deletedField name="Column14859"/>
      <deletedField name="Column14860"/>
      <deletedField name="Column14861"/>
      <deletedField name="Column14862"/>
      <deletedField name="Column14863"/>
      <deletedField name="Column14864"/>
      <deletedField name="Column14865"/>
      <deletedField name="Column14866"/>
      <deletedField name="Column14867"/>
      <deletedField name="Column14868"/>
      <deletedField name="Column14869"/>
      <deletedField name="Column14870"/>
      <deletedField name="Column14871"/>
      <deletedField name="Column14872"/>
      <deletedField name="Column14873"/>
      <deletedField name="Column14874"/>
      <deletedField name="Column14875"/>
      <deletedField name="Column14876"/>
      <deletedField name="Column14877"/>
      <deletedField name="Column14878"/>
      <deletedField name="Column14879"/>
      <deletedField name="Column14880"/>
      <deletedField name="Column14881"/>
      <deletedField name="Column14882"/>
      <deletedField name="Column14883"/>
      <deletedField name="Column14884"/>
      <deletedField name="Column14885"/>
      <deletedField name="Column14886"/>
      <deletedField name="Column14887"/>
      <deletedField name="Column14888"/>
      <deletedField name="Column14889"/>
      <deletedField name="Column14890"/>
      <deletedField name="Column14891"/>
      <deletedField name="Column14892"/>
      <deletedField name="Column14893"/>
      <deletedField name="Column14894"/>
      <deletedField name="Column14895"/>
      <deletedField name="Column14896"/>
      <deletedField name="Column14897"/>
      <deletedField name="Column14898"/>
      <deletedField name="Column14899"/>
      <deletedField name="Column14900"/>
      <deletedField name="Column14901"/>
      <deletedField name="Column14902"/>
      <deletedField name="Column14903"/>
      <deletedField name="Column14904"/>
      <deletedField name="Column14905"/>
      <deletedField name="Column14906"/>
      <deletedField name="Column14907"/>
      <deletedField name="Column14908"/>
      <deletedField name="Column14909"/>
      <deletedField name="Column14910"/>
      <deletedField name="Column14911"/>
      <deletedField name="Column14912"/>
      <deletedField name="Column14913"/>
      <deletedField name="Column14914"/>
      <deletedField name="Column14915"/>
      <deletedField name="Column14916"/>
      <deletedField name="Column14917"/>
      <deletedField name="Column14918"/>
      <deletedField name="Column14919"/>
      <deletedField name="Column14920"/>
      <deletedField name="Column14921"/>
      <deletedField name="Column14922"/>
      <deletedField name="Column14923"/>
      <deletedField name="Column14924"/>
      <deletedField name="Column14925"/>
      <deletedField name="Column14926"/>
      <deletedField name="Column14927"/>
      <deletedField name="Column14928"/>
      <deletedField name="Column14929"/>
      <deletedField name="Column14930"/>
      <deletedField name="Column14931"/>
      <deletedField name="Column14932"/>
      <deletedField name="Column14933"/>
      <deletedField name="Column14934"/>
      <deletedField name="Column14935"/>
      <deletedField name="Column14936"/>
      <deletedField name="Column14937"/>
      <deletedField name="Column14938"/>
      <deletedField name="Column14939"/>
      <deletedField name="Column14940"/>
      <deletedField name="Column14941"/>
      <deletedField name="Column14942"/>
      <deletedField name="Column14943"/>
      <deletedField name="Column14944"/>
      <deletedField name="Column14945"/>
      <deletedField name="Column14946"/>
      <deletedField name="Column14947"/>
      <deletedField name="Column14948"/>
      <deletedField name="Column14949"/>
      <deletedField name="Column14950"/>
      <deletedField name="Column14951"/>
      <deletedField name="Column14952"/>
      <deletedField name="Column14953"/>
      <deletedField name="Column14954"/>
      <deletedField name="Column14955"/>
      <deletedField name="Column14956"/>
      <deletedField name="Column14957"/>
      <deletedField name="Column14958"/>
      <deletedField name="Column14959"/>
      <deletedField name="Column14960"/>
      <deletedField name="Column14961"/>
      <deletedField name="Column14962"/>
      <deletedField name="Column14963"/>
      <deletedField name="Column14964"/>
      <deletedField name="Column14965"/>
      <deletedField name="Column14966"/>
      <deletedField name="Column14967"/>
      <deletedField name="Column14968"/>
      <deletedField name="Column14969"/>
      <deletedField name="Column14970"/>
      <deletedField name="Column14971"/>
      <deletedField name="Column14972"/>
      <deletedField name="Column14973"/>
      <deletedField name="Column14974"/>
      <deletedField name="Column14975"/>
      <deletedField name="Column14976"/>
      <deletedField name="Column14977"/>
      <deletedField name="Column14978"/>
      <deletedField name="Column14979"/>
      <deletedField name="Column14980"/>
      <deletedField name="Column14981"/>
      <deletedField name="Column14982"/>
      <deletedField name="Column14983"/>
      <deletedField name="Column14984"/>
      <deletedField name="Column14985"/>
      <deletedField name="Column14986"/>
      <deletedField name="Column14987"/>
      <deletedField name="Column14988"/>
      <deletedField name="Column14989"/>
      <deletedField name="Column14990"/>
      <deletedField name="Column14991"/>
      <deletedField name="Column14992"/>
      <deletedField name="Column14993"/>
      <deletedField name="Column14994"/>
      <deletedField name="Column14995"/>
      <deletedField name="Column14996"/>
      <deletedField name="Column14997"/>
      <deletedField name="Column14998"/>
      <deletedField name="Column14999"/>
      <deletedField name="Column15000"/>
      <deletedField name="Column15001"/>
      <deletedField name="Column15002"/>
      <deletedField name="Column15003"/>
      <deletedField name="Column15004"/>
      <deletedField name="Column15005"/>
      <deletedField name="Column15006"/>
      <deletedField name="Column15007"/>
      <deletedField name="Column15008"/>
      <deletedField name="Column15009"/>
      <deletedField name="Column15010"/>
      <deletedField name="Column15011"/>
      <deletedField name="Column15012"/>
      <deletedField name="Column15013"/>
      <deletedField name="Column15014"/>
      <deletedField name="Column15015"/>
      <deletedField name="Column15016"/>
      <deletedField name="Column15017"/>
      <deletedField name="Column15018"/>
      <deletedField name="Column15019"/>
      <deletedField name="Column15020"/>
      <deletedField name="Column15021"/>
      <deletedField name="Column15022"/>
      <deletedField name="Column15023"/>
      <deletedField name="Column15024"/>
      <deletedField name="Column15025"/>
      <deletedField name="Column15026"/>
      <deletedField name="Column15027"/>
      <deletedField name="Column15028"/>
      <deletedField name="Column15029"/>
      <deletedField name="Column15030"/>
      <deletedField name="Column15031"/>
      <deletedField name="Column15032"/>
      <deletedField name="Column15033"/>
      <deletedField name="Column15034"/>
      <deletedField name="Column15035"/>
      <deletedField name="Column15036"/>
      <deletedField name="Column15037"/>
      <deletedField name="Column15038"/>
      <deletedField name="Column15039"/>
      <deletedField name="Column15040"/>
      <deletedField name="Column15041"/>
      <deletedField name="Column15042"/>
      <deletedField name="Column15043"/>
      <deletedField name="Column15044"/>
      <deletedField name="Column15045"/>
      <deletedField name="Column15046"/>
      <deletedField name="Column15047"/>
      <deletedField name="Column15048"/>
      <deletedField name="Column15049"/>
      <deletedField name="Column15050"/>
      <deletedField name="Column15051"/>
      <deletedField name="Column15052"/>
      <deletedField name="Column15053"/>
      <deletedField name="Column15054"/>
      <deletedField name="Column15055"/>
      <deletedField name="Column15056"/>
      <deletedField name="Column15057"/>
      <deletedField name="Column15058"/>
      <deletedField name="Column15059"/>
      <deletedField name="Column15060"/>
      <deletedField name="Column15061"/>
      <deletedField name="Column15062"/>
      <deletedField name="Column15063"/>
      <deletedField name="Column15064"/>
      <deletedField name="Column15065"/>
      <deletedField name="Column15066"/>
      <deletedField name="Column15067"/>
      <deletedField name="Column15068"/>
      <deletedField name="Column15069"/>
      <deletedField name="Column15070"/>
      <deletedField name="Column15071"/>
      <deletedField name="Column15072"/>
      <deletedField name="Column15073"/>
      <deletedField name="Column15074"/>
      <deletedField name="Column15075"/>
      <deletedField name="Column15076"/>
      <deletedField name="Column15077"/>
      <deletedField name="Column15078"/>
      <deletedField name="Column15079"/>
      <deletedField name="Column15080"/>
      <deletedField name="Column15081"/>
      <deletedField name="Column15082"/>
      <deletedField name="Column15083"/>
      <deletedField name="Column15084"/>
      <deletedField name="Column15085"/>
      <deletedField name="Column15086"/>
      <deletedField name="Column15087"/>
      <deletedField name="Column15088"/>
      <deletedField name="Column15089"/>
      <deletedField name="Column15090"/>
      <deletedField name="Column15091"/>
      <deletedField name="Column15092"/>
      <deletedField name="Column15093"/>
      <deletedField name="Column15094"/>
      <deletedField name="Column15095"/>
      <deletedField name="Column15096"/>
      <deletedField name="Column15097"/>
      <deletedField name="Column15098"/>
      <deletedField name="Column15099"/>
      <deletedField name="Column15100"/>
      <deletedField name="Column15101"/>
      <deletedField name="Column15102"/>
      <deletedField name="Column15103"/>
      <deletedField name="Column15104"/>
      <deletedField name="Column15105"/>
      <deletedField name="Column15106"/>
      <deletedField name="Column15107"/>
      <deletedField name="Column15108"/>
      <deletedField name="Column15109"/>
      <deletedField name="Column15110"/>
      <deletedField name="Column15111"/>
      <deletedField name="Column15112"/>
      <deletedField name="Column15113"/>
      <deletedField name="Column15114"/>
      <deletedField name="Column15115"/>
      <deletedField name="Column15116"/>
      <deletedField name="Column15117"/>
      <deletedField name="Column15118"/>
      <deletedField name="Column15119"/>
      <deletedField name="Column15120"/>
      <deletedField name="Column15121"/>
      <deletedField name="Column15122"/>
      <deletedField name="Column15123"/>
      <deletedField name="Column15124"/>
      <deletedField name="Column15125"/>
      <deletedField name="Column15126"/>
      <deletedField name="Column15127"/>
      <deletedField name="Column15128"/>
      <deletedField name="Column15129"/>
      <deletedField name="Column15130"/>
      <deletedField name="Column15131"/>
      <deletedField name="Column15132"/>
      <deletedField name="Column15133"/>
      <deletedField name="Column15134"/>
      <deletedField name="Column15135"/>
      <deletedField name="Column15136"/>
      <deletedField name="Column15137"/>
      <deletedField name="Column15138"/>
      <deletedField name="Column15139"/>
      <deletedField name="Column15140"/>
      <deletedField name="Column15141"/>
      <deletedField name="Column15142"/>
      <deletedField name="Column15143"/>
      <deletedField name="Column15144"/>
      <deletedField name="Column15145"/>
      <deletedField name="Column15146"/>
      <deletedField name="Column15147"/>
      <deletedField name="Column15148"/>
      <deletedField name="Column15149"/>
      <deletedField name="Column15150"/>
      <deletedField name="Column15151"/>
      <deletedField name="Column15152"/>
      <deletedField name="Column15153"/>
      <deletedField name="Column15154"/>
      <deletedField name="Column15155"/>
      <deletedField name="Column15156"/>
      <deletedField name="Column15157"/>
      <deletedField name="Column15158"/>
      <deletedField name="Column15159"/>
      <deletedField name="Column15160"/>
      <deletedField name="Column15161"/>
      <deletedField name="Column15162"/>
      <deletedField name="Column15163"/>
      <deletedField name="Column15164"/>
      <deletedField name="Column15165"/>
      <deletedField name="Column15166"/>
      <deletedField name="Column15167"/>
      <deletedField name="Column15168"/>
      <deletedField name="Column15169"/>
      <deletedField name="Column15170"/>
      <deletedField name="Column15171"/>
      <deletedField name="Column15172"/>
      <deletedField name="Column15173"/>
      <deletedField name="Column15174"/>
      <deletedField name="Column15175"/>
      <deletedField name="Column15176"/>
      <deletedField name="Column15177"/>
      <deletedField name="Column15178"/>
      <deletedField name="Column15179"/>
      <deletedField name="Column15180"/>
      <deletedField name="Column15181"/>
      <deletedField name="Column15182"/>
      <deletedField name="Column15183"/>
      <deletedField name="Column15184"/>
      <deletedField name="Column15185"/>
      <deletedField name="Column15186"/>
      <deletedField name="Column15187"/>
      <deletedField name="Column15188"/>
      <deletedField name="Column15189"/>
      <deletedField name="Column15190"/>
      <deletedField name="Column15191"/>
      <deletedField name="Column15192"/>
      <deletedField name="Column15193"/>
      <deletedField name="Column15194"/>
      <deletedField name="Column15195"/>
      <deletedField name="Column15196"/>
      <deletedField name="Column15197"/>
      <deletedField name="Column15198"/>
      <deletedField name="Column15199"/>
      <deletedField name="Column15200"/>
      <deletedField name="Column15201"/>
      <deletedField name="Column15202"/>
      <deletedField name="Column15203"/>
      <deletedField name="Column15204"/>
      <deletedField name="Column15205"/>
      <deletedField name="Column15206"/>
      <deletedField name="Column15207"/>
      <deletedField name="Column15208"/>
      <deletedField name="Column15209"/>
      <deletedField name="Column15210"/>
      <deletedField name="Column15211"/>
      <deletedField name="Column15212"/>
      <deletedField name="Column15213"/>
      <deletedField name="Column15214"/>
      <deletedField name="Column15215"/>
      <deletedField name="Column15216"/>
      <deletedField name="Column15217"/>
      <deletedField name="Column15218"/>
      <deletedField name="Column15219"/>
      <deletedField name="Column15220"/>
      <deletedField name="Column15221"/>
      <deletedField name="Column15222"/>
      <deletedField name="Column15223"/>
      <deletedField name="Column15224"/>
      <deletedField name="Column15225"/>
      <deletedField name="Column15226"/>
      <deletedField name="Column15227"/>
      <deletedField name="Column15228"/>
      <deletedField name="Column15229"/>
      <deletedField name="Column15230"/>
      <deletedField name="Column15231"/>
      <deletedField name="Column15232"/>
      <deletedField name="Column15233"/>
      <deletedField name="Column15234"/>
      <deletedField name="Column15235"/>
      <deletedField name="Column15236"/>
      <deletedField name="Column15237"/>
      <deletedField name="Column15238"/>
      <deletedField name="Column15239"/>
      <deletedField name="Column15240"/>
      <deletedField name="Column15241"/>
      <deletedField name="Column15242"/>
      <deletedField name="Column15243"/>
      <deletedField name="Column15244"/>
      <deletedField name="Column15245"/>
      <deletedField name="Column15246"/>
      <deletedField name="Column15247"/>
      <deletedField name="Column15248"/>
      <deletedField name="Column15249"/>
      <deletedField name="Column15250"/>
      <deletedField name="Column15251"/>
      <deletedField name="Column15252"/>
      <deletedField name="Column15253"/>
      <deletedField name="Column15254"/>
      <deletedField name="Column15255"/>
      <deletedField name="Column15256"/>
      <deletedField name="Column15257"/>
      <deletedField name="Column15258"/>
      <deletedField name="Column15259"/>
      <deletedField name="Column15260"/>
      <deletedField name="Column15261"/>
      <deletedField name="Column15262"/>
      <deletedField name="Column15263"/>
      <deletedField name="Column15264"/>
      <deletedField name="Column15265"/>
      <deletedField name="Column15266"/>
      <deletedField name="Column15267"/>
      <deletedField name="Column15268"/>
      <deletedField name="Column15269"/>
      <deletedField name="Column15270"/>
      <deletedField name="Column15271"/>
      <deletedField name="Column15272"/>
      <deletedField name="Column15273"/>
      <deletedField name="Column15274"/>
      <deletedField name="Column15275"/>
      <deletedField name="Column15276"/>
      <deletedField name="Column15277"/>
      <deletedField name="Column15278"/>
      <deletedField name="Column15279"/>
      <deletedField name="Column15280"/>
      <deletedField name="Column15281"/>
      <deletedField name="Column15282"/>
      <deletedField name="Column15283"/>
      <deletedField name="Column15284"/>
      <deletedField name="Column15285"/>
      <deletedField name="Column15286"/>
      <deletedField name="Column15287"/>
      <deletedField name="Column15288"/>
      <deletedField name="Column15289"/>
      <deletedField name="Column15290"/>
      <deletedField name="Column15291"/>
      <deletedField name="Column15292"/>
      <deletedField name="Column15293"/>
      <deletedField name="Column15294"/>
      <deletedField name="Column15295"/>
      <deletedField name="Column15296"/>
      <deletedField name="Column15297"/>
      <deletedField name="Column15298"/>
      <deletedField name="Column15299"/>
      <deletedField name="Column15300"/>
      <deletedField name="Column15301"/>
      <deletedField name="Column15302"/>
      <deletedField name="Column15303"/>
      <deletedField name="Column15304"/>
      <deletedField name="Column15305"/>
      <deletedField name="Column15306"/>
      <deletedField name="Column15307"/>
      <deletedField name="Column15308"/>
      <deletedField name="Column15309"/>
      <deletedField name="Column15310"/>
      <deletedField name="Column15311"/>
      <deletedField name="Column15312"/>
      <deletedField name="Column15313"/>
      <deletedField name="Column15314"/>
      <deletedField name="Column15315"/>
      <deletedField name="Column15316"/>
      <deletedField name="Column15317"/>
      <deletedField name="Column15318"/>
      <deletedField name="Column15319"/>
      <deletedField name="Column15320"/>
      <deletedField name="Column15321"/>
      <deletedField name="Column15322"/>
      <deletedField name="Column15323"/>
      <deletedField name="Column15324"/>
      <deletedField name="Column15325"/>
      <deletedField name="Column15326"/>
      <deletedField name="Column15327"/>
      <deletedField name="Column15328"/>
      <deletedField name="Column15329"/>
      <deletedField name="Column15330"/>
      <deletedField name="Column15331"/>
      <deletedField name="Column15332"/>
      <deletedField name="Column15333"/>
      <deletedField name="Column15334"/>
      <deletedField name="Column15335"/>
      <deletedField name="Column15336"/>
      <deletedField name="Column15337"/>
      <deletedField name="Column15338"/>
      <deletedField name="Column15339"/>
      <deletedField name="Column15340"/>
      <deletedField name="Column15341"/>
      <deletedField name="Column15342"/>
      <deletedField name="Column15343"/>
      <deletedField name="Column15344"/>
      <deletedField name="Column15345"/>
      <deletedField name="Column15346"/>
      <deletedField name="Column15347"/>
      <deletedField name="Column15348"/>
      <deletedField name="Column15349"/>
      <deletedField name="Column15350"/>
      <deletedField name="Column15351"/>
      <deletedField name="Column15352"/>
      <deletedField name="Column15353"/>
      <deletedField name="Column15354"/>
      <deletedField name="Column15355"/>
      <deletedField name="Column15356"/>
      <deletedField name="Column15357"/>
      <deletedField name="Column15358"/>
      <deletedField name="Column15359"/>
      <deletedField name="Column15360"/>
      <deletedField name="Column15361"/>
      <deletedField name="Column15362"/>
      <deletedField name="Column15363"/>
      <deletedField name="Column15364"/>
      <deletedField name="Column15365"/>
      <deletedField name="Column15366"/>
      <deletedField name="Column15367"/>
      <deletedField name="Column15368"/>
      <deletedField name="Column15369"/>
      <deletedField name="Column15370"/>
      <deletedField name="Column15371"/>
      <deletedField name="Column15372"/>
      <deletedField name="Column15373"/>
      <deletedField name="Column15374"/>
      <deletedField name="Column15375"/>
      <deletedField name="Column15376"/>
      <deletedField name="Column15377"/>
      <deletedField name="Column15378"/>
      <deletedField name="Column15379"/>
      <deletedField name="Column15380"/>
      <deletedField name="Column15381"/>
      <deletedField name="Column15382"/>
      <deletedField name="Column15383"/>
      <deletedField name="Column15384"/>
      <deletedField name="Column15385"/>
      <deletedField name="Column15386"/>
      <deletedField name="Column15387"/>
      <deletedField name="Column15388"/>
      <deletedField name="Column15389"/>
      <deletedField name="Column15390"/>
      <deletedField name="Column15391"/>
      <deletedField name="Column15392"/>
      <deletedField name="Column15393"/>
      <deletedField name="Column15394"/>
      <deletedField name="Column15395"/>
      <deletedField name="Column15396"/>
      <deletedField name="Column15397"/>
      <deletedField name="Column15398"/>
      <deletedField name="Column15399"/>
      <deletedField name="Column15400"/>
      <deletedField name="Column15401"/>
      <deletedField name="Column15402"/>
      <deletedField name="Column15403"/>
      <deletedField name="Column15404"/>
      <deletedField name="Column15405"/>
      <deletedField name="Column15406"/>
      <deletedField name="Column15407"/>
      <deletedField name="Column15408"/>
      <deletedField name="Column15409"/>
      <deletedField name="Column15410"/>
      <deletedField name="Column15411"/>
      <deletedField name="Column15412"/>
      <deletedField name="Column15413"/>
      <deletedField name="Column15414"/>
      <deletedField name="Column15415"/>
      <deletedField name="Column15416"/>
      <deletedField name="Column15417"/>
      <deletedField name="Column15418"/>
      <deletedField name="Column15419"/>
      <deletedField name="Column15420"/>
      <deletedField name="Column15421"/>
      <deletedField name="Column15422"/>
      <deletedField name="Column15423"/>
      <deletedField name="Column15424"/>
      <deletedField name="Column15425"/>
      <deletedField name="Column15426"/>
      <deletedField name="Column15427"/>
      <deletedField name="Column15428"/>
      <deletedField name="Column15429"/>
      <deletedField name="Column15430"/>
      <deletedField name="Column15431"/>
      <deletedField name="Column15432"/>
      <deletedField name="Column15433"/>
      <deletedField name="Column15434"/>
      <deletedField name="Column15435"/>
      <deletedField name="Column15436"/>
      <deletedField name="Column15437"/>
      <deletedField name="Column15438"/>
      <deletedField name="Column15439"/>
      <deletedField name="Column15440"/>
      <deletedField name="Column15441"/>
      <deletedField name="Column15442"/>
      <deletedField name="Column15443"/>
      <deletedField name="Column15444"/>
      <deletedField name="Column15445"/>
      <deletedField name="Column15446"/>
      <deletedField name="Column15447"/>
      <deletedField name="Column15448"/>
      <deletedField name="Column15449"/>
      <deletedField name="Column15450"/>
      <deletedField name="Column15451"/>
      <deletedField name="Column15452"/>
      <deletedField name="Column15453"/>
      <deletedField name="Column15454"/>
      <deletedField name="Column15455"/>
      <deletedField name="Column15456"/>
      <deletedField name="Column15457"/>
      <deletedField name="Column15458"/>
      <deletedField name="Column15459"/>
      <deletedField name="Column15460"/>
      <deletedField name="Column15461"/>
      <deletedField name="Column15462"/>
      <deletedField name="Column15463"/>
      <deletedField name="Column15464"/>
      <deletedField name="Column15465"/>
      <deletedField name="Column15466"/>
      <deletedField name="Column15467"/>
      <deletedField name="Column15468"/>
      <deletedField name="Column15469"/>
      <deletedField name="Column15470"/>
      <deletedField name="Column15471"/>
      <deletedField name="Column15472"/>
      <deletedField name="Column15473"/>
      <deletedField name="Column15474"/>
      <deletedField name="Column15475"/>
      <deletedField name="Column15476"/>
      <deletedField name="Column15477"/>
      <deletedField name="Column15478"/>
      <deletedField name="Column15479"/>
      <deletedField name="Column15480"/>
      <deletedField name="Column15481"/>
      <deletedField name="Column15482"/>
      <deletedField name="Column15483"/>
      <deletedField name="Column15484"/>
      <deletedField name="Column15485"/>
      <deletedField name="Column15486"/>
      <deletedField name="Column15487"/>
      <deletedField name="Column15488"/>
      <deletedField name="Column15489"/>
      <deletedField name="Column15490"/>
      <deletedField name="Column15491"/>
      <deletedField name="Column15492"/>
      <deletedField name="Column15493"/>
      <deletedField name="Column15494"/>
      <deletedField name="Column15495"/>
      <deletedField name="Column15496"/>
      <deletedField name="Column15497"/>
      <deletedField name="Column15498"/>
      <deletedField name="Column15499"/>
      <deletedField name="Column15500"/>
      <deletedField name="Column15501"/>
      <deletedField name="Column15502"/>
      <deletedField name="Column15503"/>
      <deletedField name="Column15504"/>
      <deletedField name="Column15505"/>
      <deletedField name="Column15506"/>
      <deletedField name="Column15507"/>
      <deletedField name="Column15508"/>
      <deletedField name="Column15509"/>
      <deletedField name="Column15510"/>
      <deletedField name="Column15511"/>
      <deletedField name="Column15512"/>
      <deletedField name="Column15513"/>
      <deletedField name="Column15514"/>
      <deletedField name="Column15515"/>
      <deletedField name="Column15516"/>
      <deletedField name="Column15517"/>
      <deletedField name="Column15518"/>
      <deletedField name="Column15519"/>
      <deletedField name="Column15520"/>
      <deletedField name="Column15521"/>
      <deletedField name="Column15522"/>
      <deletedField name="Column15523"/>
      <deletedField name="Column15524"/>
      <deletedField name="Column15525"/>
      <deletedField name="Column15526"/>
      <deletedField name="Column15527"/>
      <deletedField name="Column15528"/>
      <deletedField name="Column15529"/>
      <deletedField name="Column15530"/>
      <deletedField name="Column15531"/>
      <deletedField name="Column15532"/>
      <deletedField name="Column15533"/>
      <deletedField name="Column15534"/>
      <deletedField name="Column15535"/>
      <deletedField name="Column15536"/>
      <deletedField name="Column15537"/>
      <deletedField name="Column15538"/>
      <deletedField name="Column15539"/>
      <deletedField name="Column15540"/>
      <deletedField name="Column15541"/>
      <deletedField name="Column15542"/>
      <deletedField name="Column15543"/>
      <deletedField name="Column15544"/>
      <deletedField name="Column15545"/>
      <deletedField name="Column15546"/>
      <deletedField name="Column15547"/>
      <deletedField name="Column15548"/>
      <deletedField name="Column15549"/>
      <deletedField name="Column15550"/>
      <deletedField name="Column15551"/>
      <deletedField name="Column15552"/>
      <deletedField name="Column15553"/>
      <deletedField name="Column15554"/>
      <deletedField name="Column15555"/>
      <deletedField name="Column15556"/>
      <deletedField name="Column15557"/>
      <deletedField name="Column15558"/>
      <deletedField name="Column15559"/>
      <deletedField name="Column15560"/>
      <deletedField name="Column15561"/>
      <deletedField name="Column15562"/>
      <deletedField name="Column15563"/>
      <deletedField name="Column15564"/>
      <deletedField name="Column15565"/>
      <deletedField name="Column15566"/>
      <deletedField name="Column15567"/>
      <deletedField name="Column15568"/>
      <deletedField name="Column15569"/>
      <deletedField name="Column15570"/>
      <deletedField name="Column15571"/>
      <deletedField name="Column15572"/>
      <deletedField name="Column15573"/>
      <deletedField name="Column15574"/>
      <deletedField name="Column15575"/>
      <deletedField name="Column15576"/>
      <deletedField name="Column15577"/>
      <deletedField name="Column15578"/>
      <deletedField name="Column15579"/>
      <deletedField name="Column15580"/>
      <deletedField name="Column15581"/>
      <deletedField name="Column15582"/>
      <deletedField name="Column15583"/>
      <deletedField name="Column15584"/>
      <deletedField name="Column15585"/>
      <deletedField name="Column15586"/>
      <deletedField name="Column15587"/>
      <deletedField name="Column15588"/>
      <deletedField name="Column15589"/>
      <deletedField name="Column15590"/>
      <deletedField name="Column15591"/>
      <deletedField name="Column15592"/>
      <deletedField name="Column15593"/>
      <deletedField name="Column15594"/>
      <deletedField name="Column15595"/>
      <deletedField name="Column15596"/>
      <deletedField name="Column15597"/>
      <deletedField name="Column15598"/>
      <deletedField name="Column15599"/>
      <deletedField name="Column15600"/>
      <deletedField name="Column15601"/>
      <deletedField name="Column15602"/>
      <deletedField name="Column15603"/>
      <deletedField name="Column15604"/>
      <deletedField name="Column15605"/>
      <deletedField name="Column15606"/>
      <deletedField name="Column15607"/>
      <deletedField name="Column15608"/>
      <deletedField name="Column15609"/>
      <deletedField name="Column15610"/>
      <deletedField name="Column15611"/>
      <deletedField name="Column15612"/>
      <deletedField name="Column15613"/>
      <deletedField name="Column15614"/>
      <deletedField name="Column15615"/>
      <deletedField name="Column15616"/>
      <deletedField name="Column15617"/>
      <deletedField name="Column15618"/>
      <deletedField name="Column15619"/>
      <deletedField name="Column15620"/>
      <deletedField name="Column15621"/>
      <deletedField name="Column15622"/>
      <deletedField name="Column15623"/>
      <deletedField name="Column15624"/>
      <deletedField name="Column15625"/>
      <deletedField name="Column15626"/>
      <deletedField name="Column15627"/>
      <deletedField name="Column15628"/>
      <deletedField name="Column15629"/>
      <deletedField name="Column15630"/>
      <deletedField name="Column15631"/>
      <deletedField name="Column15632"/>
      <deletedField name="Column15633"/>
      <deletedField name="Column15634"/>
      <deletedField name="Column15635"/>
      <deletedField name="Column15636"/>
      <deletedField name="Column15637"/>
      <deletedField name="Column15638"/>
      <deletedField name="Column15639"/>
      <deletedField name="Column15640"/>
      <deletedField name="Column15641"/>
      <deletedField name="Column15642"/>
      <deletedField name="Column15643"/>
      <deletedField name="Column15644"/>
      <deletedField name="Column15645"/>
      <deletedField name="Column15646"/>
      <deletedField name="Column15647"/>
      <deletedField name="Column15648"/>
      <deletedField name="Column15649"/>
      <deletedField name="Column15650"/>
      <deletedField name="Column15651"/>
      <deletedField name="Column15652"/>
      <deletedField name="Column15653"/>
      <deletedField name="Column15654"/>
      <deletedField name="Column15655"/>
      <deletedField name="Column15656"/>
      <deletedField name="Column15657"/>
      <deletedField name="Column15658"/>
      <deletedField name="Column15659"/>
      <deletedField name="Column15660"/>
      <deletedField name="Column15661"/>
      <deletedField name="Column15662"/>
      <deletedField name="Column15663"/>
      <deletedField name="Column15664"/>
      <deletedField name="Column15665"/>
      <deletedField name="Column15666"/>
      <deletedField name="Column15667"/>
      <deletedField name="Column15668"/>
      <deletedField name="Column15669"/>
      <deletedField name="Column15670"/>
      <deletedField name="Column15671"/>
      <deletedField name="Column15672"/>
      <deletedField name="Column15673"/>
      <deletedField name="Column15674"/>
      <deletedField name="Column15675"/>
      <deletedField name="Column15676"/>
      <deletedField name="Column15677"/>
      <deletedField name="Column15678"/>
      <deletedField name="Column15679"/>
      <deletedField name="Column15680"/>
      <deletedField name="Column15681"/>
      <deletedField name="Column15682"/>
      <deletedField name="Column15683"/>
      <deletedField name="Column15684"/>
      <deletedField name="Column15685"/>
      <deletedField name="Column15686"/>
      <deletedField name="Column15687"/>
      <deletedField name="Column15688"/>
      <deletedField name="Column15689"/>
      <deletedField name="Column15690"/>
      <deletedField name="Column15691"/>
      <deletedField name="Column15692"/>
      <deletedField name="Column15693"/>
      <deletedField name="Column15694"/>
      <deletedField name="Column15695"/>
      <deletedField name="Column15696"/>
      <deletedField name="Column15697"/>
      <deletedField name="Column15698"/>
      <deletedField name="Column15699"/>
      <deletedField name="Column15700"/>
      <deletedField name="Column15701"/>
      <deletedField name="Column15702"/>
      <deletedField name="Column15703"/>
      <deletedField name="Column15704"/>
      <deletedField name="Column15705"/>
      <deletedField name="Column15706"/>
      <deletedField name="Column15707"/>
      <deletedField name="Column15708"/>
      <deletedField name="Column15709"/>
      <deletedField name="Column15710"/>
      <deletedField name="Column15711"/>
      <deletedField name="Column15712"/>
      <deletedField name="Column15713"/>
      <deletedField name="Column15714"/>
      <deletedField name="Column15715"/>
      <deletedField name="Column15716"/>
      <deletedField name="Column15717"/>
      <deletedField name="Column15718"/>
      <deletedField name="Column15719"/>
      <deletedField name="Column15720"/>
      <deletedField name="Column15721"/>
      <deletedField name="Column15722"/>
      <deletedField name="Column15723"/>
      <deletedField name="Column15724"/>
      <deletedField name="Column15725"/>
      <deletedField name="Column15726"/>
      <deletedField name="Column15727"/>
      <deletedField name="Column15728"/>
      <deletedField name="Column15729"/>
      <deletedField name="Column15730"/>
      <deletedField name="Column15731"/>
      <deletedField name="Column15732"/>
      <deletedField name="Column15733"/>
      <deletedField name="Column15734"/>
      <deletedField name="Column15735"/>
      <deletedField name="Column15736"/>
      <deletedField name="Column15737"/>
      <deletedField name="Column15738"/>
      <deletedField name="Column15739"/>
      <deletedField name="Column15740"/>
      <deletedField name="Column15741"/>
      <deletedField name="Column15742"/>
      <deletedField name="Column15743"/>
      <deletedField name="Column15744"/>
      <deletedField name="Column15745"/>
      <deletedField name="Column15746"/>
      <deletedField name="Column15747"/>
      <deletedField name="Column15748"/>
      <deletedField name="Column15749"/>
      <deletedField name="Column15750"/>
      <deletedField name="Column15751"/>
      <deletedField name="Column15752"/>
      <deletedField name="Column15753"/>
      <deletedField name="Column15754"/>
      <deletedField name="Column15755"/>
      <deletedField name="Column15756"/>
      <deletedField name="Column15757"/>
      <deletedField name="Column15758"/>
      <deletedField name="Column15759"/>
      <deletedField name="Column15760"/>
      <deletedField name="Column15761"/>
      <deletedField name="Column15762"/>
      <deletedField name="Column15763"/>
      <deletedField name="Column15764"/>
      <deletedField name="Column15765"/>
      <deletedField name="Column15766"/>
      <deletedField name="Column15767"/>
      <deletedField name="Column15768"/>
      <deletedField name="Column15769"/>
      <deletedField name="Column15770"/>
      <deletedField name="Column15771"/>
      <deletedField name="Column15772"/>
      <deletedField name="Column15773"/>
      <deletedField name="Column15774"/>
      <deletedField name="Column15775"/>
      <deletedField name="Column15776"/>
      <deletedField name="Column15777"/>
      <deletedField name="Column15778"/>
      <deletedField name="Column15779"/>
      <deletedField name="Column15780"/>
      <deletedField name="Column15781"/>
      <deletedField name="Column15782"/>
      <deletedField name="Column15783"/>
      <deletedField name="Column15784"/>
      <deletedField name="Column15785"/>
      <deletedField name="Column15786"/>
      <deletedField name="Column15787"/>
      <deletedField name="Column15788"/>
      <deletedField name="Column15789"/>
      <deletedField name="Column15790"/>
      <deletedField name="Column15791"/>
      <deletedField name="Column15792"/>
      <deletedField name="Column15793"/>
      <deletedField name="Column15794"/>
      <deletedField name="Column15795"/>
      <deletedField name="Column15796"/>
      <deletedField name="Column15797"/>
      <deletedField name="Column15798"/>
      <deletedField name="Column15799"/>
      <deletedField name="Column15800"/>
      <deletedField name="Column15801"/>
      <deletedField name="Column15802"/>
      <deletedField name="Column15803"/>
      <deletedField name="Column15804"/>
      <deletedField name="Column15805"/>
      <deletedField name="Column15806"/>
      <deletedField name="Column15807"/>
      <deletedField name="Column15808"/>
      <deletedField name="Column15809"/>
      <deletedField name="Column15810"/>
      <deletedField name="Column15811"/>
      <deletedField name="Column15812"/>
      <deletedField name="Column15813"/>
      <deletedField name="Column15814"/>
      <deletedField name="Column15815"/>
      <deletedField name="Column15816"/>
      <deletedField name="Column15817"/>
      <deletedField name="Column15818"/>
      <deletedField name="Column15819"/>
      <deletedField name="Column15820"/>
      <deletedField name="Column15821"/>
      <deletedField name="Column15822"/>
      <deletedField name="Column15823"/>
      <deletedField name="Column15824"/>
      <deletedField name="Column15825"/>
      <deletedField name="Column15826"/>
      <deletedField name="Column15827"/>
      <deletedField name="Column15828"/>
      <deletedField name="Column15829"/>
      <deletedField name="Column15830"/>
      <deletedField name="Column15831"/>
      <deletedField name="Column15832"/>
      <deletedField name="Column15833"/>
      <deletedField name="Column15834"/>
      <deletedField name="Column15835"/>
      <deletedField name="Column15836"/>
      <deletedField name="Column15837"/>
      <deletedField name="Column15838"/>
      <deletedField name="Column15839"/>
      <deletedField name="Column15840"/>
      <deletedField name="Column15841"/>
      <deletedField name="Column15842"/>
      <deletedField name="Column15843"/>
      <deletedField name="Column15844"/>
      <deletedField name="Column15845"/>
      <deletedField name="Column15846"/>
      <deletedField name="Column15847"/>
      <deletedField name="Column15848"/>
      <deletedField name="Column15849"/>
      <deletedField name="Column15850"/>
      <deletedField name="Column15851"/>
      <deletedField name="Column15852"/>
      <deletedField name="Column15853"/>
      <deletedField name="Column15854"/>
      <deletedField name="Column15855"/>
      <deletedField name="Column15856"/>
      <deletedField name="Column15857"/>
      <deletedField name="Column15858"/>
      <deletedField name="Column15859"/>
      <deletedField name="Column15860"/>
      <deletedField name="Column15861"/>
      <deletedField name="Column15862"/>
      <deletedField name="Column15863"/>
      <deletedField name="Column15864"/>
      <deletedField name="Column15865"/>
      <deletedField name="Column15866"/>
      <deletedField name="Column15867"/>
      <deletedField name="Column15868"/>
      <deletedField name="Column15869"/>
      <deletedField name="Column15870"/>
      <deletedField name="Column15871"/>
      <deletedField name="Column15872"/>
      <deletedField name="Column15873"/>
      <deletedField name="Column15874"/>
      <deletedField name="Column15875"/>
      <deletedField name="Column15876"/>
      <deletedField name="Column15877"/>
      <deletedField name="Column15878"/>
      <deletedField name="Column15879"/>
      <deletedField name="Column15880"/>
      <deletedField name="Column15881"/>
      <deletedField name="Column15882"/>
      <deletedField name="Column15883"/>
      <deletedField name="Column15884"/>
      <deletedField name="Column15885"/>
      <deletedField name="Column15886"/>
      <deletedField name="Column15887"/>
      <deletedField name="Column15888"/>
      <deletedField name="Column15889"/>
      <deletedField name="Column15890"/>
      <deletedField name="Column15891"/>
      <deletedField name="Column15892"/>
      <deletedField name="Column15893"/>
      <deletedField name="Column15894"/>
      <deletedField name="Column15895"/>
      <deletedField name="Column15896"/>
      <deletedField name="Column15897"/>
      <deletedField name="Column15898"/>
      <deletedField name="Column15899"/>
      <deletedField name="Column15900"/>
      <deletedField name="Column15901"/>
      <deletedField name="Column15902"/>
      <deletedField name="Column15903"/>
      <deletedField name="Column15904"/>
      <deletedField name="Column15905"/>
      <deletedField name="Column15906"/>
      <deletedField name="Column15907"/>
      <deletedField name="Column15908"/>
      <deletedField name="Column15909"/>
      <deletedField name="Column15910"/>
      <deletedField name="Column15911"/>
      <deletedField name="Column15912"/>
      <deletedField name="Column15913"/>
      <deletedField name="Column15914"/>
      <deletedField name="Column15915"/>
      <deletedField name="Column15916"/>
      <deletedField name="Column15917"/>
      <deletedField name="Column15918"/>
      <deletedField name="Column15919"/>
      <deletedField name="Column15920"/>
      <deletedField name="Column15921"/>
      <deletedField name="Column15922"/>
      <deletedField name="Column15923"/>
      <deletedField name="Column15924"/>
      <deletedField name="Column15925"/>
      <deletedField name="Column15926"/>
      <deletedField name="Column15927"/>
      <deletedField name="Column15928"/>
      <deletedField name="Column15929"/>
      <deletedField name="Column15930"/>
      <deletedField name="Column15931"/>
      <deletedField name="Column15932"/>
      <deletedField name="Column15933"/>
      <deletedField name="Column15934"/>
      <deletedField name="Column15935"/>
      <deletedField name="Column15936"/>
      <deletedField name="Column15937"/>
      <deletedField name="Column15938"/>
      <deletedField name="Column15939"/>
      <deletedField name="Column15940"/>
      <deletedField name="Column15941"/>
      <deletedField name="Column15942"/>
      <deletedField name="Column15943"/>
      <deletedField name="Column15944"/>
      <deletedField name="Column15945"/>
      <deletedField name="Column15946"/>
      <deletedField name="Column15947"/>
      <deletedField name="Column15948"/>
      <deletedField name="Column15949"/>
      <deletedField name="Column15950"/>
      <deletedField name="Column15951"/>
      <deletedField name="Column15952"/>
      <deletedField name="Column15953"/>
      <deletedField name="Column15954"/>
      <deletedField name="Column15955"/>
      <deletedField name="Column15956"/>
      <deletedField name="Column15957"/>
      <deletedField name="Column15958"/>
      <deletedField name="Column15959"/>
      <deletedField name="Column15960"/>
      <deletedField name="Column15961"/>
      <deletedField name="Column15962"/>
      <deletedField name="Column15963"/>
      <deletedField name="Column15964"/>
      <deletedField name="Column15965"/>
      <deletedField name="Column15966"/>
      <deletedField name="Column15967"/>
      <deletedField name="Column15968"/>
      <deletedField name="Column15969"/>
      <deletedField name="Column15970"/>
      <deletedField name="Column15971"/>
      <deletedField name="Column15972"/>
      <deletedField name="Column15973"/>
      <deletedField name="Column15974"/>
      <deletedField name="Column15975"/>
      <deletedField name="Column15976"/>
      <deletedField name="Column15977"/>
      <deletedField name="Column15978"/>
      <deletedField name="Column15979"/>
      <deletedField name="Column15980"/>
      <deletedField name="Column15981"/>
      <deletedField name="Column15982"/>
      <deletedField name="Column15983"/>
      <deletedField name="Column15984"/>
      <deletedField name="Column15985"/>
      <deletedField name="Column15986"/>
      <deletedField name="Column15987"/>
      <deletedField name="Column15988"/>
      <deletedField name="Column15989"/>
      <deletedField name="Column15990"/>
      <deletedField name="Column15991"/>
      <deletedField name="Column15992"/>
      <deletedField name="Column15993"/>
      <deletedField name="Column15994"/>
      <deletedField name="Column15995"/>
      <deletedField name="Column15996"/>
      <deletedField name="Column15997"/>
      <deletedField name="Column15998"/>
      <deletedField name="Column15999"/>
      <deletedField name="Column16000"/>
      <deletedField name="Column16001"/>
      <deletedField name="Column16002"/>
      <deletedField name="Column16003"/>
      <deletedField name="Column16004"/>
      <deletedField name="Column16005"/>
      <deletedField name="Column16006"/>
      <deletedField name="Column16007"/>
      <deletedField name="Column16008"/>
      <deletedField name="Column16009"/>
      <deletedField name="Column16010"/>
      <deletedField name="Column16011"/>
      <deletedField name="Column16012"/>
      <deletedField name="Column16013"/>
      <deletedField name="Column16014"/>
      <deletedField name="Column16015"/>
      <deletedField name="Column16016"/>
      <deletedField name="Column16017"/>
      <deletedField name="Column16018"/>
      <deletedField name="Column16019"/>
      <deletedField name="Column16020"/>
      <deletedField name="Column16021"/>
      <deletedField name="Column16022"/>
      <deletedField name="Column16023"/>
      <deletedField name="Column16024"/>
      <deletedField name="Column16025"/>
      <deletedField name="Column16026"/>
      <deletedField name="Column16027"/>
      <deletedField name="Column16028"/>
      <deletedField name="Column16029"/>
      <deletedField name="Column16030"/>
      <deletedField name="Column16031"/>
      <deletedField name="Column16032"/>
      <deletedField name="Column16033"/>
      <deletedField name="Column16034"/>
      <deletedField name="Column16035"/>
      <deletedField name="Column16036"/>
      <deletedField name="Column16037"/>
      <deletedField name="Column16038"/>
      <deletedField name="Column16039"/>
      <deletedField name="Column16040"/>
      <deletedField name="Column16041"/>
      <deletedField name="Column16042"/>
      <deletedField name="Column16043"/>
      <deletedField name="Column16044"/>
      <deletedField name="Column16045"/>
      <deletedField name="Column16046"/>
      <deletedField name="Column16047"/>
      <deletedField name="Column16048"/>
      <deletedField name="Column16049"/>
      <deletedField name="Column16050"/>
      <deletedField name="Column16051"/>
      <deletedField name="Column16052"/>
      <deletedField name="Column16053"/>
      <deletedField name="Column16054"/>
      <deletedField name="Column16055"/>
      <deletedField name="Column16056"/>
      <deletedField name="Column16057"/>
      <deletedField name="Column16058"/>
      <deletedField name="Column16059"/>
      <deletedField name="Column16060"/>
      <deletedField name="Column16061"/>
      <deletedField name="Column16062"/>
      <deletedField name="Column16063"/>
      <deletedField name="Column16064"/>
      <deletedField name="Column16065"/>
      <deletedField name="Column16066"/>
      <deletedField name="Column16067"/>
      <deletedField name="Column16068"/>
      <deletedField name="Column16069"/>
      <deletedField name="Column16070"/>
      <deletedField name="Column16071"/>
      <deletedField name="Column16072"/>
      <deletedField name="Column16073"/>
      <deletedField name="Column16074"/>
      <deletedField name="Column16075"/>
      <deletedField name="Column16076"/>
      <deletedField name="Column16077"/>
      <deletedField name="Column16078"/>
      <deletedField name="Column16079"/>
      <deletedField name="Column16080"/>
      <deletedField name="Column16081"/>
      <deletedField name="Column16082"/>
      <deletedField name="Column16083"/>
      <deletedField name="Column16084"/>
      <deletedField name="Column16085"/>
      <deletedField name="Column16086"/>
      <deletedField name="Column16087"/>
      <deletedField name="Column16088"/>
      <deletedField name="Column16089"/>
      <deletedField name="Column16090"/>
      <deletedField name="Column16091"/>
      <deletedField name="Column16092"/>
      <deletedField name="Column16093"/>
      <deletedField name="Column16094"/>
      <deletedField name="Column16095"/>
      <deletedField name="Column16096"/>
      <deletedField name="Column16097"/>
      <deletedField name="Column16098"/>
      <deletedField name="Column16099"/>
      <deletedField name="Column16100"/>
      <deletedField name="Column16101"/>
      <deletedField name="Column16102"/>
      <deletedField name="Column16103"/>
      <deletedField name="Column16104"/>
      <deletedField name="Column16105"/>
      <deletedField name="Column16106"/>
      <deletedField name="Column16107"/>
      <deletedField name="Column16108"/>
      <deletedField name="Column16109"/>
      <deletedField name="Column16110"/>
      <deletedField name="Column16111"/>
      <deletedField name="Column16112"/>
      <deletedField name="Column16113"/>
      <deletedField name="Column16114"/>
      <deletedField name="Column16115"/>
      <deletedField name="Column16116"/>
      <deletedField name="Column16117"/>
      <deletedField name="Column16118"/>
      <deletedField name="Column16119"/>
      <deletedField name="Column16120"/>
      <deletedField name="Column16121"/>
      <deletedField name="Column16122"/>
      <deletedField name="Column16123"/>
      <deletedField name="Column16124"/>
      <deletedField name="Column16125"/>
      <deletedField name="Column16126"/>
      <deletedField name="Column16127"/>
      <deletedField name="Column16128"/>
      <deletedField name="Column16129"/>
      <deletedField name="Column16130"/>
      <deletedField name="Column16131"/>
      <deletedField name="Column16132"/>
      <deletedField name="Column16133"/>
      <deletedField name="Column16134"/>
      <deletedField name="Column16135"/>
      <deletedField name="Column16136"/>
      <deletedField name="Column16137"/>
      <deletedField name="Column16138"/>
      <deletedField name="Column16139"/>
      <deletedField name="Column16140"/>
      <deletedField name="Column16141"/>
      <deletedField name="Column16142"/>
      <deletedField name="Column16143"/>
      <deletedField name="Column16144"/>
      <deletedField name="Column16145"/>
      <deletedField name="Column16146"/>
      <deletedField name="Column16147"/>
      <deletedField name="Column16148"/>
      <deletedField name="Column16149"/>
      <deletedField name="Column16150"/>
      <deletedField name="Column16151"/>
      <deletedField name="Column16152"/>
      <deletedField name="Column16153"/>
      <deletedField name="Column16154"/>
      <deletedField name="Column16155"/>
      <deletedField name="Column16156"/>
      <deletedField name="Column16157"/>
      <deletedField name="Column16158"/>
      <deletedField name="Column16159"/>
      <deletedField name="Column16160"/>
      <deletedField name="Column16161"/>
      <deletedField name="Column16162"/>
      <deletedField name="Column16163"/>
      <deletedField name="Column16164"/>
      <deletedField name="Column16165"/>
      <deletedField name="Column16166"/>
      <deletedField name="Column16167"/>
      <deletedField name="Column16168"/>
      <deletedField name="Column16169"/>
      <deletedField name="Column16170"/>
      <deletedField name="Column16171"/>
      <deletedField name="Column16172"/>
      <deletedField name="Column16173"/>
      <deletedField name="Column16174"/>
      <deletedField name="Column16175"/>
      <deletedField name="Column16176"/>
      <deletedField name="Column16177"/>
      <deletedField name="Column16178"/>
      <deletedField name="Column16179"/>
      <deletedField name="Column16180"/>
      <deletedField name="Column16181"/>
      <deletedField name="Column16182"/>
      <deletedField name="Column16183"/>
      <deletedField name="Column16184"/>
      <deletedField name="Column16185"/>
      <deletedField name="Column16186"/>
      <deletedField name="Column16187"/>
      <deletedField name="Column16188"/>
      <deletedField name="Column16189"/>
      <deletedField name="Column16190"/>
      <deletedField name="Column16191"/>
      <deletedField name="Column16192"/>
      <deletedField name="Column16193"/>
      <deletedField name="Column16194"/>
      <deletedField name="Column16195"/>
      <deletedField name="Column16196"/>
      <deletedField name="Column16197"/>
      <deletedField name="Column16198"/>
      <deletedField name="Column16199"/>
      <deletedField name="Column16200"/>
      <deletedField name="Column16201"/>
      <deletedField name="Column16202"/>
      <deletedField name="Column16203"/>
      <deletedField name="Column16204"/>
      <deletedField name="Column16205"/>
      <deletedField name="Column16206"/>
      <deletedField name="Column16207"/>
      <deletedField name="Column16208"/>
      <deletedField name="Column16209"/>
      <deletedField name="Column16210"/>
      <deletedField name="Column16211"/>
      <deletedField name="Column16212"/>
      <deletedField name="Column16213"/>
      <deletedField name="Column16214"/>
      <deletedField name="Column16215"/>
      <deletedField name="Column16216"/>
      <deletedField name="Column16217"/>
      <deletedField name="Column16218"/>
      <deletedField name="Column16219"/>
      <deletedField name="Column16220"/>
      <deletedField name="Column16221"/>
      <deletedField name="Column16222"/>
      <deletedField name="Column16223"/>
      <deletedField name="Column16224"/>
      <deletedField name="Column16225"/>
      <deletedField name="Column16226"/>
      <deletedField name="Column16227"/>
      <deletedField name="Column16228"/>
      <deletedField name="Column16229"/>
      <deletedField name="Column16230"/>
      <deletedField name="Column16231"/>
      <deletedField name="Column16232"/>
      <deletedField name="Column16233"/>
      <deletedField name="Column16234"/>
      <deletedField name="Column16235"/>
      <deletedField name="Column16236"/>
      <deletedField name="Column16237"/>
      <deletedField name="Column16238"/>
      <deletedField name="Column16239"/>
      <deletedField name="Column16240"/>
      <deletedField name="Column16241"/>
      <deletedField name="Column16242"/>
      <deletedField name="Column16243"/>
      <deletedField name="Column16244"/>
      <deletedField name="Column16245"/>
      <deletedField name="Column16246"/>
      <deletedField name="Column16247"/>
      <deletedField name="Column16248"/>
      <deletedField name="Column16249"/>
      <deletedField name="Column16250"/>
      <deletedField name="Column16251"/>
      <deletedField name="Column16252"/>
      <deletedField name="Column16253"/>
      <deletedField name="Column16254"/>
      <deletedField name="Column16255"/>
      <deletedField name="Column16256"/>
      <deletedField name="Column16257"/>
      <deletedField name="Column16258"/>
      <deletedField name="Column16259"/>
      <deletedField name="Column16260"/>
      <deletedField name="Column16261"/>
      <deletedField name="Column16262"/>
      <deletedField name="Column16263"/>
      <deletedField name="Column16264"/>
      <deletedField name="Column16265"/>
      <deletedField name="Column16266"/>
      <deletedField name="Column16267"/>
      <deletedField name="Column16268"/>
      <deletedField name="Column16269"/>
      <deletedField name="Column16270"/>
      <deletedField name="Column16271"/>
      <deletedField name="Column16272"/>
      <deletedField name="Column16273"/>
      <deletedField name="Column16274"/>
      <deletedField name="Column16275"/>
      <deletedField name="Column16276"/>
      <deletedField name="Column16277"/>
      <deletedField name="Column16278"/>
      <deletedField name="Column16279"/>
      <deletedField name="Column16280"/>
      <deletedField name="Column16281"/>
      <deletedField name="Column16282"/>
      <deletedField name="Column16283"/>
      <deletedField name="Column16284"/>
      <deletedField name="Column16285"/>
      <deletedField name="Column16286"/>
      <deletedField name="Column16287"/>
      <deletedField name="Column16288"/>
      <deletedField name="Column16289"/>
      <deletedField name="Column16290"/>
      <deletedField name="Column16291"/>
      <deletedField name="Column16292"/>
      <deletedField name="Column16293"/>
      <deletedField name="Column16294"/>
      <deletedField name="Column16295"/>
      <deletedField name="Column16296"/>
      <deletedField name="Column16297"/>
      <deletedField name="Column16298"/>
      <deletedField name="Column16299"/>
      <deletedField name="Column16300"/>
      <deletedField name="Column16301"/>
      <deletedField name="Column16302"/>
      <deletedField name="Column16303"/>
      <deletedField name="Column16304"/>
      <deletedField name="Column16305"/>
      <deletedField name="Column16306"/>
      <deletedField name="Column16307"/>
      <deletedField name="Column16308"/>
      <deletedField name="Column16309"/>
      <deletedField name="Column16310"/>
      <deletedField name="Column16311"/>
      <deletedField name="Column16312"/>
      <deletedField name="Column16313"/>
      <deletedField name="Column16314"/>
      <deletedField name="Column16315"/>
      <deletedField name="Column16316"/>
      <deletedField name="Column16317"/>
      <deletedField name="Column16318"/>
      <deletedField name="Column16319"/>
      <deletedField name="Column16320"/>
      <deletedField name="Column16321"/>
      <deletedField name="Column16322"/>
      <deletedField name="Column16323"/>
      <deletedField name="Column16324"/>
      <deletedField name="Column16325"/>
      <deletedField name="Column16326"/>
      <deletedField name="Column16327"/>
      <deletedField name="Column16328"/>
      <deletedField name="Column16329"/>
      <deletedField name="Column16330"/>
      <deletedField name="Column16331"/>
      <deletedField name="Column16332"/>
      <deletedField name="Column16333"/>
      <deletedField name="Column16334"/>
      <deletedField name="Column16335"/>
      <deletedField name="Column16336"/>
      <deletedField name="Column16337"/>
      <deletedField name="Column16338"/>
      <deletedField name="Column16339"/>
      <deletedField name="Column16340"/>
      <deletedField name="Column16341"/>
      <deletedField name="Column16342"/>
      <deletedField name="Column16343"/>
      <deletedField name="Column16344"/>
      <deletedField name="Column16345"/>
      <deletedField name="Column16346"/>
      <deletedField name="Column16347"/>
      <deletedField name="Column16348"/>
      <deletedField name="Column16349"/>
      <deletedField name="Column16350"/>
      <deletedField name="Column16351"/>
      <deletedField name="Column16352"/>
      <deletedField name="Column16353"/>
      <deletedField name="Column16354"/>
      <deletedField name="Column16355"/>
      <deletedField name="Column16356"/>
      <deletedField name="Column16357"/>
      <deletedField name="Column16358"/>
      <deletedField name="Column16359"/>
      <deletedField name="Column16360"/>
      <deletedField name="Column16361"/>
      <deletedField name="Column16362"/>
      <deletedField name="Column16363"/>
      <deletedField name="Column16364"/>
      <deletedField name="Column16365"/>
      <deletedField name="Column16366"/>
      <deletedField name="Column16367"/>
      <deletedField name="Column16368"/>
      <deletedField name="Column16369"/>
      <deletedField name="Column16370"/>
      <deletedField name="Column16371"/>
      <deletedField name="Column16372"/>
      <deletedField name="Column16373"/>
      <deletedField name="Column16374"/>
      <deletedField name="Column16375"/>
      <deletedField name="Column16376"/>
      <deletedField name="Column16377"/>
      <deletedField name="Column16378"/>
      <deletedField name="Column16379"/>
      <deletedField name="Column16380"/>
      <deletedField name="Column16381"/>
      <deletedField name="Column16382"/>
      <deletedField name="Column16383"/>
      <deletedField name="Column16384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E6D8B9-7C3F-40F9-A5A3-2592EFA15E4D}" name="Table_2" displayName="Table_2" ref="A1:R288" tableType="queryTable" totalsRowShown="0" headerRowDxfId="174" dataDxfId="173">
  <autoFilter ref="A1:R288" xr:uid="{FFE6D8B9-7C3F-40F9-A5A3-2592EFA15E4D}">
    <filterColumn colId="1">
      <filters>
        <dateGroupItem year="2026" month="2" day="13" dateTimeGrouping="day"/>
      </filters>
    </filterColumn>
    <filterColumn colId="7">
      <filters>
        <filter val="BHSL"/>
        <filter val="BHSM"/>
        <filter val="BHSN"/>
        <filter val="BKKA"/>
        <filter val="BKKB"/>
        <filter val="BKKC"/>
        <filter val="BKKD"/>
        <filter val="BKKE"/>
        <filter val="BKKF"/>
        <filter val="BKKG"/>
        <filter val="BKKH"/>
        <filter val="BKKI"/>
        <filter val="BKKJ"/>
        <filter val="BKKL"/>
        <filter val="BKKM"/>
        <filter val="BKKN"/>
        <filter val="BKKO"/>
        <filter val="BKKP"/>
        <filter val="BKKQ"/>
        <filter val="BLCH"/>
        <filter val="BLCI"/>
        <filter val="BLCJ"/>
        <filter val="BLCL"/>
        <filter val="BLCM"/>
        <filter val="BLCN"/>
        <filter val="BLCO"/>
        <filter val="BLCP"/>
        <filter val="BLCR"/>
        <filter val="BLCS"/>
        <filter val="BLEJ"/>
      </filters>
    </filterColumn>
  </autoFilter>
  <tableColumns count="18">
    <tableColumn id="1" xr3:uid="{92FD99BE-DFB8-4A36-A3CA-C064A1CACF98}" uniqueName="1" name="Flt. ID" queryTableFieldId="1" dataDxfId="24"/>
    <tableColumn id="2" xr3:uid="{ECD4177E-7EF8-42FC-839D-7E2504321AF8}" uniqueName="2" name="STA/STD" queryTableFieldId="2" dataDxfId="23"/>
    <tableColumn id="3" xr3:uid="{8F002700-DC63-4DBA-8A5B-BD8B51D5AA70}" uniqueName="3" name="ETA/ETD" queryTableFieldId="3" dataDxfId="22"/>
    <tableColumn id="4" xr3:uid="{FB702A50-53F8-4843-9FAD-57D1732C967F}" uniqueName="4" name="ATA/ATD" queryTableFieldId="4" dataDxfId="21"/>
    <tableColumn id="5" xr3:uid="{B21AA23C-1A78-4F62-9A44-C0F6E6E2B2EC}" uniqueName="5" name="O/D" queryTableFieldId="5" dataDxfId="20"/>
    <tableColumn id="6" xr3:uid="{D62D8FC6-66EC-4389-BF53-85FB26B1CECA}" uniqueName="6" name="Column6" queryTableFieldId="89" dataDxfId="19"/>
    <tableColumn id="7" xr3:uid="{EA90BCC9-2C2F-41D0-BFBF-ABEE49C6D739}" uniqueName="7" name="Column7" queryTableFieldId="90" dataDxfId="18"/>
    <tableColumn id="8" xr3:uid="{290109FD-AEC3-4457-B7ED-DBAC85F6E7CB}" uniqueName="8" name="A/C" queryTableFieldId="8" dataDxfId="17"/>
    <tableColumn id="9" xr3:uid="{BC5ED4DE-88A0-469E-932E-0650CA0A320C}" uniqueName="9" name="Std" queryTableFieldId="9" dataDxfId="16"/>
    <tableColumn id="10" xr3:uid="{504F06F1-54FD-4356-B390-5C69E1DE4219}" uniqueName="10" name="Arr/ Dep" queryTableFieldId="10" dataDxfId="15"/>
    <tableColumn id="12" xr3:uid="{C74D8ED5-BC49-4B86-B838-7FB63EEE4C03}" uniqueName="12" name="Column2" queryTableFieldId="12" dataDxfId="14">
      <calculatedColumnFormula>LEFT(Table_2[[#This Row],[Flt. ID]],2)&amp;RIGHT(Table_2[[#This Row],[Flt. ID]],3)</calculatedColumnFormula>
    </tableColumn>
    <tableColumn id="11" xr3:uid="{BE1EC783-C5A9-4DF7-8C60-FE07E46C98FE}" uniqueName="11" name="Radar" queryTableFieldId="11" dataDxfId="13" dataCellStyle="Hyperlink">
      <calculatedColumnFormula>"H"&amp;ROW(Table_2[[#This Row],[A/C]])+1&amp;":H300"</calculatedColumnFormula>
    </tableColumn>
    <tableColumn id="16" xr3:uid="{1915F43B-7A0B-4054-B433-DF93A70B63D6}" uniqueName="16" name="Ground Time (hr)" queryTableFieldId="23" dataDxfId="12" dataCellStyle="Hyperlink">
      <calculatedColumnFormula>IFERROR(
    IF(Table_2[[#This Row],[Arr/ Dep]]="A",
        IF(
            INDEX(B3:B247,MATCH(Table_2[[#This Row],[A/C]],H3:H247,0))
            - IF(Table_2[[#This Row],[ETA/ETD]]="",Table_2[[#This Row],[STA/STD]],Table_2[[#This Row],[ETA/ETD]]) &lt; 0,
            "ASAP",
            IF(Table_2[[#This Row],[ETA/ETD]]="",
                INDEX(B3:B247,MATCH(Table_2[[#This Row],[A/C]],H3:H247,0))-Table_2[[#This Row],[STA/STD]],
                INDEX(B3:B247,MATCH(Table_2[[#This Row],[A/C]],H3:H247,0))-Table_2[[#This Row],[ETA/ETD]])
        ),
        ""
    ),
"TBC")</calculatedColumnFormula>
    </tableColumn>
    <tableColumn id="13" xr3:uid="{36B9B524-FBD1-491B-B10E-0AB990FB2B12}" uniqueName="13" name="Work" queryTableFieldId="13" dataDxfId="11">
      <calculatedColumnFormula array="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calculatedColumnFormula>
    </tableColumn>
    <tableColumn id="14" xr3:uid="{6EC5D462-F866-4AD6-A2AA-9B71DB7AF886}" uniqueName="14" name="Date" queryTableFieldId="17" dataDxfId="10">
      <calculatedColumnFormula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calculatedColumnFormula>
    </tableColumn>
    <tableColumn id="15" xr3:uid="{5BBD1B13-C4FA-4535-A09E-07C0A42056A6}" uniqueName="15" name="Ide" queryTableFieldId="20" dataDxfId="9">
      <calculatedColumnFormula>Table_2[[#This Row],[A/C]]&amp;Table_2[[#This Row],[Column2]]</calculatedColumnFormula>
    </tableColumn>
    <tableColumn id="19" xr3:uid="{024E9123-AB41-4500-BF3E-E6AB696D31BE}" uniqueName="19" name="UTC TIME" queryTableFieldId="26" dataDxfId="8">
      <calculatedColumnFormula>IF(Table_2[[#This Row],[Arr/ Dep]]="D",IF(OR(Table_2[[#This Row],[Work]]="72H",Table_2[[#This Row],[Work]]="10D",Table_2[[#This Row],[Work]]="72H,10D",Table_2[[#This Row],[Work]]="10D,72H"),Table_2[[#This Row],[STA/STD]]-TIME(8,0,0),""),"")</calculatedColumnFormula>
    </tableColumn>
    <tableColumn id="18" xr3:uid="{5395EE14-BE97-4ED5-B780-39861518242B}" uniqueName="18" name="1.5H B4 FLT" queryTableFieldId="25" dataDxfId="7">
      <calculatedColumnFormula>IFERROR(Table_2[[#This Row],[UTC TIME]]-TIME(1,30,0),"")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726172-8A02-4269-9563-1B37A8585031}" name="DWA" displayName="DWA" ref="A1:J65" tableType="queryTable" totalsRowShown="0" headerRowDxfId="172" dataDxfId="171">
  <autoFilter ref="A1:J65" xr:uid="{DB726172-8A02-4269-9563-1B37A8585031}"/>
  <tableColumns count="10">
    <tableColumn id="6" xr3:uid="{439EDF15-F77B-40E3-8074-C85368F02486}" uniqueName="6" name="A/C" queryTableFieldId="6" dataDxfId="6"/>
    <tableColumn id="1" xr3:uid="{A9697422-7F62-4008-84A7-BB67B792D89F}" uniqueName="1" name="Inbound Flt" queryTableFieldId="14"/>
    <tableColumn id="8" xr3:uid="{B17030C4-087C-4282-9246-05732488E9E2}" uniqueName="8" name="Inbound Date" queryTableFieldId="8" dataDxfId="5"/>
    <tableColumn id="2" xr3:uid="{91F8821C-C098-4A0D-9F40-CD818A9B674D}" uniqueName="2" name="Outbound Flt" queryTableFieldId="15"/>
    <tableColumn id="3" xr3:uid="{DEF9E2DF-8F47-43E8-9006-725C3DD991E2}" uniqueName="3" name="Outbound Date" queryTableFieldId="16" dataDxfId="4"/>
    <tableColumn id="4" xr3:uid="{2F126E73-68D3-4A40-916D-DA42C005C4C3}" uniqueName="4" name="Project ID" queryTableFieldId="17" dataDxfId="3"/>
    <tableColumn id="5" xr3:uid="{EBE00436-B341-4A68-96C9-33A6CF5D292B}" uniqueName="5" name="Pick Slip Number" queryTableFieldId="18"/>
    <tableColumn id="7" xr3:uid="{4FF38D14-BCCF-4D5A-8527-70E120E66285}" uniqueName="7" name="DWA date" queryTableFieldId="19" dataDxfId="2"/>
    <tableColumn id="10" xr3:uid="{E9A6A99A-F3A6-48BE-BB50-EB7A5818F7C7}" uniqueName="10" name="MC_4" queryTableFieldId="13" dataDxfId="1">
      <calculatedColumnFormula>DWA[[#This Row],[A/C]]&amp;DWA[[#This Row],[Inbound Flt]]</calculatedColumnFormula>
    </tableColumn>
    <tableColumn id="9" xr3:uid="{4E1B15C9-F1DC-4260-843C-07187285CCC8}" uniqueName="9" name="MC_5" queryTableFieldId="21" dataDxfId="0">
      <calculatedColumnFormula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4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4B6F40D-07D7-4B19-BA1F-EFC5C945A126}">
  <we:reference id="wa104381701" version="1.0.0.4" store="en-US" storeType="OMEX"/>
  <we:alternateReferences>
    <we:reference id="WA104381701" version="1.0.0.4" store="WA104381701" storeType="OMEX"/>
  </we:alternateReferences>
  <we:properties/>
  <we:bindings>
    <we:binding id="currentSelection" type="table" appref="{F86EF74E-0FCA-478D-8A0F-002126F9103C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19/04/relationships/namedSheetView" Target="../namedSheetViews/namedSheetView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hkexpress.comply365.net/DCM/MyDocuments/ViewPublication/9d9a9641-f334-ef11-8076-dc98402a19cb" TargetMode="External"/><Relationship Id="rId2" Type="http://schemas.openxmlformats.org/officeDocument/2006/relationships/hyperlink" Target="https://airnavx.hkexpress.com/airnavx/maximize?itemId=729815_SGML_C_EN33218911F&amp;itemType=DATAMODULE&amp;itemFormat=HTML&amp;revisionItemId=729815_SGML_C&amp;context=dataModule&amp;wc=FSN:351;actype:A318;actype:A319;actype:A320;actype:A321;customization:HKE;doctype:IPC;tailNumber:N11184&amp;viewMinimize=true" TargetMode="External"/><Relationship Id="rId1" Type="http://schemas.openxmlformats.org/officeDocument/2006/relationships/hyperlink" Target="https://w3.airbus.com/1T40/document/729815_SGML_C/search?q=MS17825-4%20(96906)&amp;wc=actype:A318;actype:A319;actype:A320;actype:A321;customization:HKE&amp;multimsn=true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airnavx.hkexpress.com/airnavx/maximize?itemId=729815_SGML_C_EN33128102&amp;parentId=729815_SGML_C_EN331281&amp;itemType=DATAMODULE&amp;itemFormat=HTML&amp;revisionItemId=729815_SGML_C&amp;context=document&amp;wc=actype:A318;actype:A319;actype:A320;actype:A321;customization:HKE;doctype:IPC;tailNumber:N11184&amp;viewMinimize=tru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ntrol" Target="../activeX/activeX6.xml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2E3DC-88E9-497F-9D3B-42FDFA93DF35}">
  <sheetPr codeName="Sheet1">
    <pageSetUpPr fitToPage="1"/>
  </sheetPr>
  <dimension ref="A1:BA2294"/>
  <sheetViews>
    <sheetView tabSelected="1" zoomScale="40" zoomScaleNormal="40" zoomScaleSheetLayoutView="50" zoomScalePageLayoutView="66" workbookViewId="0">
      <selection activeCell="H69" sqref="H69"/>
    </sheetView>
  </sheetViews>
  <sheetFormatPr defaultColWidth="0" defaultRowHeight="28.5" customHeight="1"/>
  <cols>
    <col min="1" max="1" width="24.140625" style="127" bestFit="1" customWidth="1"/>
    <col min="2" max="2" width="30.5703125" style="142" bestFit="1" customWidth="1"/>
    <col min="3" max="3" width="28.42578125" style="142" bestFit="1" customWidth="1"/>
    <col min="4" max="4" width="15.140625" style="132" hidden="1" customWidth="1"/>
    <col min="5" max="5" width="20.85546875" style="132" bestFit="1" customWidth="1"/>
    <col min="6" max="6" width="18.140625" style="127" hidden="1" customWidth="1"/>
    <col min="7" max="7" width="14.28515625" style="133" hidden="1" customWidth="1"/>
    <col min="8" max="8" width="20.5703125" style="133" bestFit="1" customWidth="1"/>
    <col min="9" max="9" width="16.42578125" style="133" bestFit="1" customWidth="1"/>
    <col min="10" max="10" width="28.7109375" style="133" bestFit="1" customWidth="1"/>
    <col min="11" max="11" width="27.5703125" style="133" hidden="1" customWidth="1"/>
    <col min="12" max="12" width="27.42578125" hidden="1" customWidth="1"/>
    <col min="13" max="13" width="44.42578125" style="83" bestFit="1" customWidth="1"/>
    <col min="14" max="14" width="35.140625" style="143" bestFit="1" customWidth="1"/>
    <col min="15" max="15" width="22" style="133" hidden="1" customWidth="1"/>
    <col min="16" max="16" width="24.42578125" style="3" hidden="1" customWidth="1"/>
    <col min="17" max="17" width="9.28515625" hidden="1" customWidth="1"/>
    <col min="18" max="18" width="34.85546875" style="127" bestFit="1" customWidth="1"/>
    <col min="19" max="19" width="30.140625" style="133" customWidth="1"/>
    <col min="20" max="20" width="33" customWidth="1"/>
    <col min="21" max="21" width="15" customWidth="1"/>
    <col min="22" max="22" width="29.140625" customWidth="1"/>
    <col min="23" max="23" width="12.42578125" bestFit="1" customWidth="1"/>
    <col min="24" max="25" width="13.140625" customWidth="1"/>
    <col min="26" max="53" width="0" hidden="1" customWidth="1"/>
    <col min="54" max="16384" width="13.140625" hidden="1"/>
  </cols>
  <sheetData>
    <row r="1" spans="1:25">
      <c r="A1" s="147" t="s">
        <v>0</v>
      </c>
      <c r="B1" s="148" t="s">
        <v>1</v>
      </c>
      <c r="C1" s="148" t="s">
        <v>2</v>
      </c>
      <c r="D1" s="158" t="s">
        <v>3</v>
      </c>
      <c r="E1" s="147" t="s">
        <v>4</v>
      </c>
      <c r="F1" t="s">
        <v>5</v>
      </c>
      <c r="G1" t="s">
        <v>6</v>
      </c>
      <c r="H1" s="149" t="s">
        <v>7</v>
      </c>
      <c r="I1" s="149" t="s">
        <v>8</v>
      </c>
      <c r="J1" s="147" t="s">
        <v>9</v>
      </c>
      <c r="K1" s="7" t="s">
        <v>10</v>
      </c>
      <c r="L1" s="125" t="s">
        <v>11</v>
      </c>
      <c r="M1" s="150" t="s">
        <v>12</v>
      </c>
      <c r="N1" s="147" t="s">
        <v>13</v>
      </c>
      <c r="O1" s="10" t="s">
        <v>14</v>
      </c>
      <c r="P1" s="3" t="s">
        <v>15</v>
      </c>
      <c r="Q1" s="151" t="s">
        <v>16</v>
      </c>
      <c r="R1" s="145" t="s">
        <v>17</v>
      </c>
      <c r="S1" s="146" t="s">
        <v>18</v>
      </c>
      <c r="T1" s="146" t="s">
        <v>19</v>
      </c>
      <c r="U1" s="197" t="s">
        <v>1018</v>
      </c>
      <c r="V1" s="198"/>
      <c r="W1" s="199"/>
      <c r="X1" s="199"/>
    </row>
    <row r="2" spans="1:25">
      <c r="A2" s="140" t="s">
        <v>21</v>
      </c>
      <c r="B2" s="163">
        <v>46066.003472222219</v>
      </c>
      <c r="C2" s="163">
        <v>46065.984027777777</v>
      </c>
      <c r="D2" s="136" t="s">
        <v>1088</v>
      </c>
      <c r="E2" s="140" t="s">
        <v>22</v>
      </c>
      <c r="F2" s="280" t="s">
        <v>23</v>
      </c>
      <c r="G2" s="280"/>
      <c r="H2" s="144" t="s">
        <v>24</v>
      </c>
      <c r="I2" s="140" t="s">
        <v>159</v>
      </c>
      <c r="J2" s="140" t="s">
        <v>26</v>
      </c>
      <c r="K2" s="135" t="str">
        <f>LEFT(Table_2[[#This Row],[Flt. ID]],2)&amp;RIGHT(Table_2[[#This Row],[Flt. ID]],3)</f>
        <v>UO689</v>
      </c>
      <c r="L2" s="131" t="str">
        <f>"H"&amp;ROW(Table_2[[#This Row],[A/C]])+1&amp;":H300"</f>
        <v>H3:H300</v>
      </c>
      <c r="M2" s="164">
        <f>IFERROR(
    IF(Table_2[[#This Row],[Arr/ Dep]]="A",
        IF(
            INDEX(B3:B247,MATCH(Table_2[[#This Row],[A/C]],H3:H247,0))
            - IF(Table_2[[#This Row],[ETA/ETD]]="",Table_2[[#This Row],[STA/STD]],Table_2[[#This Row],[ETA/ETD]]) &lt; 0,
            "ASAP",
            IF(Table_2[[#This Row],[ETA/ETD]]="",
                INDEX(B3:B247,MATCH(Table_2[[#This Row],[A/C]],H3:H247,0))-Table_2[[#This Row],[STA/STD]],
                INDEX(B3:B247,MATCH(Table_2[[#This Row],[A/C]],H3:H247,0))-Table_2[[#This Row],[ETA/ETD]])
        ),
        ""
    ),
"TBC")</f>
        <v>0.32500000000436557</v>
      </c>
      <c r="N2" s="140" t="str" cm="1">
        <f t="array" ref="N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DEFECT</v>
      </c>
      <c r="O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2" s="135" t="str">
        <f>Table_2[[#This Row],[A/C]]&amp;Table_2[[#This Row],[Column2]]</f>
        <v>BLCSUO689</v>
      </c>
      <c r="Q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" s="166" t="str">
        <f>IFERROR(Table_2[[#This Row],[UTC TIME]]-TIME(1,30,0),"")</f>
        <v/>
      </c>
      <c r="S2" s="167"/>
      <c r="T2" s="186"/>
      <c r="U2" s="202"/>
      <c r="V2" s="203"/>
      <c r="W2" s="83"/>
      <c r="X2" s="83"/>
      <c r="Y2" s="83"/>
    </row>
    <row r="3" spans="1:25">
      <c r="A3" s="140" t="s">
        <v>27</v>
      </c>
      <c r="B3" s="163">
        <v>46066.024305555555</v>
      </c>
      <c r="C3" s="163">
        <v>46066</v>
      </c>
      <c r="D3" s="136" t="s">
        <v>1089</v>
      </c>
      <c r="E3" s="140" t="s">
        <v>28</v>
      </c>
      <c r="F3" s="280" t="s">
        <v>29</v>
      </c>
      <c r="G3" s="280"/>
      <c r="H3" s="144" t="s">
        <v>60</v>
      </c>
      <c r="I3" s="140" t="s">
        <v>78</v>
      </c>
      <c r="J3" s="140" t="s">
        <v>26</v>
      </c>
      <c r="K3" s="135" t="str">
        <f>LEFT(Table_2[[#This Row],[Flt. ID]],2)&amp;RIGHT(Table_2[[#This Row],[Flt. ID]],3)</f>
        <v>UO651</v>
      </c>
      <c r="L3" s="131" t="str">
        <f>"H"&amp;ROW(Table_2[[#This Row],[A/C]])+1&amp;":H300"</f>
        <v>H4:H300</v>
      </c>
      <c r="M3" s="164">
        <f>IFERROR(
    IF(Table_2[[#This Row],[Arr/ Dep]]="A",
        IF(
            INDEX(B4:B248,MATCH(Table_2[[#This Row],[A/C]],H4:H248,0))
            - IF(Table_2[[#This Row],[ETA/ETD]]="",Table_2[[#This Row],[STA/STD]],Table_2[[#This Row],[ETA/ETD]]) &lt; 0,
            "ASAP",
            IF(Table_2[[#This Row],[ETA/ETD]]="",
                INDEX(B4:B248,MATCH(Table_2[[#This Row],[A/C]],H4:H248,0))-Table_2[[#This Row],[STA/STD]],
                INDEX(B4:B248,MATCH(Table_2[[#This Row],[A/C]],H4:H248,0))-Table_2[[#This Row],[ETA/ETD]])
        ),
        ""
    ),
"TBC")</f>
        <v>0.37152777778101154</v>
      </c>
      <c r="N3" s="140" t="str" cm="1">
        <f t="array" ref="N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</v>
      </c>
      <c r="O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3" s="135" t="str">
        <f>Table_2[[#This Row],[A/C]]&amp;Table_2[[#This Row],[Column2]]</f>
        <v>BKKFUO651</v>
      </c>
      <c r="Q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" s="166" t="str">
        <f>IFERROR(Table_2[[#This Row],[UTC TIME]]-TIME(1,30,0),"")</f>
        <v/>
      </c>
      <c r="S3" s="167"/>
      <c r="T3" s="186"/>
      <c r="U3" s="127"/>
      <c r="V3" s="127"/>
      <c r="W3" s="83"/>
      <c r="X3" s="83"/>
      <c r="Y3" s="83"/>
    </row>
    <row r="4" spans="1:25">
      <c r="A4" s="140" t="s">
        <v>32</v>
      </c>
      <c r="B4" s="163">
        <v>46066.034722222219</v>
      </c>
      <c r="C4" s="163">
        <v>46066.029861111114</v>
      </c>
      <c r="D4" s="136" t="s">
        <v>1091</v>
      </c>
      <c r="E4" s="140" t="s">
        <v>33</v>
      </c>
      <c r="F4" s="280" t="s">
        <v>34</v>
      </c>
      <c r="G4" s="280"/>
      <c r="H4" s="144" t="s">
        <v>77</v>
      </c>
      <c r="I4" s="140" t="s">
        <v>143</v>
      </c>
      <c r="J4" s="140" t="s">
        <v>26</v>
      </c>
      <c r="K4" s="135" t="str">
        <f>LEFT(Table_2[[#This Row],[Flt. ID]],2)&amp;RIGHT(Table_2[[#This Row],[Flt. ID]],3)</f>
        <v>UO685</v>
      </c>
      <c r="L4" s="131" t="str">
        <f>"H"&amp;ROW(Table_2[[#This Row],[A/C]])+1&amp;":H300"</f>
        <v>H5:H300</v>
      </c>
      <c r="M4" s="164">
        <f>IFERROR(
    IF(Table_2[[#This Row],[Arr/ Dep]]="A",
        IF(
            INDEX(B5:B249,MATCH(Table_2[[#This Row],[A/C]],H5:H249,0))
            - IF(Table_2[[#This Row],[ETA/ETD]]="",Table_2[[#This Row],[STA/STD]],Table_2[[#This Row],[ETA/ETD]]) &lt; 0,
            "ASAP",
            IF(Table_2[[#This Row],[ETA/ETD]]="",
                INDEX(B5:B249,MATCH(Table_2[[#This Row],[A/C]],H5:H249,0))-Table_2[[#This Row],[STA/STD]],
                INDEX(B5:B249,MATCH(Table_2[[#This Row],[A/C]],H5:H249,0))-Table_2[[#This Row],[ETA/ETD]])
        ),
        ""
    ),
"TBC")</f>
        <v>0.40416666666715173</v>
      </c>
      <c r="N4" s="140" t="str" cm="1">
        <f t="array" ref="N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4" s="135" t="str">
        <f>Table_2[[#This Row],[A/C]]&amp;Table_2[[#This Row],[Column2]]</f>
        <v>BKKHUO685</v>
      </c>
      <c r="Q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" s="166" t="str">
        <f>IFERROR(Table_2[[#This Row],[UTC TIME]]-TIME(1,30,0),"")</f>
        <v/>
      </c>
      <c r="S4" s="167"/>
      <c r="T4" s="186"/>
      <c r="U4" s="127"/>
      <c r="V4" s="127"/>
      <c r="W4" s="83"/>
      <c r="X4" s="83"/>
      <c r="Y4" s="83"/>
    </row>
    <row r="5" spans="1:25">
      <c r="A5" s="140" t="s">
        <v>43</v>
      </c>
      <c r="B5" s="163">
        <v>46066.038194444445</v>
      </c>
      <c r="C5" s="163">
        <v>46066.030555555553</v>
      </c>
      <c r="D5" s="136" t="s">
        <v>1092</v>
      </c>
      <c r="E5" s="140" t="s">
        <v>38</v>
      </c>
      <c r="F5" s="280" t="s">
        <v>39</v>
      </c>
      <c r="G5" s="280"/>
      <c r="H5" s="144" t="s">
        <v>68</v>
      </c>
      <c r="I5" s="140" t="s">
        <v>1085</v>
      </c>
      <c r="J5" s="140" t="s">
        <v>26</v>
      </c>
      <c r="K5" s="135" t="str">
        <f>LEFT(Table_2[[#This Row],[Flt. ID]],2)&amp;RIGHT(Table_2[[#This Row],[Flt. ID]],3)</f>
        <v>UO627</v>
      </c>
      <c r="L5" s="131" t="str">
        <f>"H"&amp;ROW(Table_2[[#This Row],[A/C]])+1&amp;":H300"</f>
        <v>H6:H300</v>
      </c>
      <c r="M5" s="164">
        <f>IFERROR(
    IF(Table_2[[#This Row],[Arr/ Dep]]="A",
        IF(
            INDEX(B6:B250,MATCH(Table_2[[#This Row],[A/C]],H6:H250,0))
            - IF(Table_2[[#This Row],[ETA/ETD]]="",Table_2[[#This Row],[STA/STD]],Table_2[[#This Row],[ETA/ETD]]) &lt; 0,
            "ASAP",
            IF(Table_2[[#This Row],[ETA/ETD]]="",
                INDEX(B6:B250,MATCH(Table_2[[#This Row],[A/C]],H6:H250,0))-Table_2[[#This Row],[STA/STD]],
                INDEX(B6:B250,MATCH(Table_2[[#This Row],[A/C]],H6:H250,0))-Table_2[[#This Row],[ETA/ETD]])
        ),
        ""
    ),
"TBC")</f>
        <v>0.35833333333721384</v>
      </c>
      <c r="N5" s="140" t="str" cm="1">
        <f t="array" ref="N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72H,SCH</v>
      </c>
      <c r="O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5" s="135" t="str">
        <f>Table_2[[#This Row],[A/C]]&amp;Table_2[[#This Row],[Column2]]</f>
        <v>BKKDUO627</v>
      </c>
      <c r="Q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" s="166" t="str">
        <f>IFERROR(Table_2[[#This Row],[UTC TIME]]-TIME(1,30,0),"")</f>
        <v/>
      </c>
      <c r="S5" s="167"/>
      <c r="T5" s="186"/>
      <c r="U5" s="127"/>
      <c r="V5" s="127"/>
      <c r="W5" s="83"/>
      <c r="X5" s="83"/>
      <c r="Y5" s="83"/>
    </row>
    <row r="6" spans="1:25">
      <c r="A6" s="140" t="s">
        <v>46</v>
      </c>
      <c r="B6" s="163">
        <v>46066.038194444445</v>
      </c>
      <c r="C6" s="163">
        <v>46066.020138888889</v>
      </c>
      <c r="D6" s="136" t="s">
        <v>1090</v>
      </c>
      <c r="E6" s="140" t="s">
        <v>22</v>
      </c>
      <c r="F6" s="280" t="s">
        <v>23</v>
      </c>
      <c r="G6" s="280"/>
      <c r="H6" s="144" t="s">
        <v>142</v>
      </c>
      <c r="I6" s="140" t="s">
        <v>131</v>
      </c>
      <c r="J6" s="140" t="s">
        <v>26</v>
      </c>
      <c r="K6" s="135" t="str">
        <f>LEFT(Table_2[[#This Row],[Flt. ID]],2)&amp;RIGHT(Table_2[[#This Row],[Flt. ID]],3)</f>
        <v>UO863</v>
      </c>
      <c r="L6" s="131" t="str">
        <f>"H"&amp;ROW(Table_2[[#This Row],[A/C]])+1&amp;":H300"</f>
        <v>H7:H300</v>
      </c>
      <c r="M6" s="164">
        <f>IFERROR(
    IF(Table_2[[#This Row],[Arr/ Dep]]="A",
        IF(
            INDEX(B7:B251,MATCH(Table_2[[#This Row],[A/C]],H7:H251,0))
            - IF(Table_2[[#This Row],[ETA/ETD]]="",Table_2[[#This Row],[STA/STD]],Table_2[[#This Row],[ETA/ETD]]) &lt; 0,
            "ASAP",
            IF(Table_2[[#This Row],[ETA/ETD]]="",
                INDEX(B7:B251,MATCH(Table_2[[#This Row],[A/C]],H7:H251,0))-Table_2[[#This Row],[STA/STD]],
                INDEX(B7:B251,MATCH(Table_2[[#This Row],[A/C]],H7:H251,0))-Table_2[[#This Row],[ETA/ETD]])
        ),
        ""
    ),
"TBC")</f>
        <v>0.43472222222044365</v>
      </c>
      <c r="N6" s="140" t="str" cm="1">
        <f t="array" ref="N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PEST</v>
      </c>
      <c r="O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6" s="135" t="str">
        <f>Table_2[[#This Row],[A/C]]&amp;Table_2[[#This Row],[Column2]]</f>
        <v>BLCNUO863</v>
      </c>
      <c r="Q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" s="166" t="str">
        <f>IFERROR(Table_2[[#This Row],[UTC TIME]]-TIME(1,30,0),"")</f>
        <v/>
      </c>
      <c r="S6" s="167"/>
      <c r="T6" s="186"/>
      <c r="U6" s="127"/>
      <c r="V6" s="127"/>
      <c r="W6" s="83"/>
      <c r="X6" s="83"/>
      <c r="Y6" s="83"/>
    </row>
    <row r="7" spans="1:25">
      <c r="A7" s="140" t="s">
        <v>53</v>
      </c>
      <c r="B7" s="163">
        <v>46066.059027777781</v>
      </c>
      <c r="C7" s="163">
        <v>46066.02847222222</v>
      </c>
      <c r="D7" s="136" t="s">
        <v>1093</v>
      </c>
      <c r="E7" s="140" t="s">
        <v>28</v>
      </c>
      <c r="F7" s="280" t="s">
        <v>29</v>
      </c>
      <c r="G7" s="280"/>
      <c r="H7" s="144" t="s">
        <v>108</v>
      </c>
      <c r="I7" s="140" t="s">
        <v>1086</v>
      </c>
      <c r="J7" s="140" t="s">
        <v>26</v>
      </c>
      <c r="K7" s="135" t="str">
        <f>LEFT(Table_2[[#This Row],[Flt. ID]],2)&amp;RIGHT(Table_2[[#This Row],[Flt. ID]],3)</f>
        <v>UO693</v>
      </c>
      <c r="L7" s="131" t="str">
        <f>"H"&amp;ROW(Table_2[[#This Row],[A/C]])+1&amp;":H300"</f>
        <v>H8:H300</v>
      </c>
      <c r="M7" s="164">
        <f>IFERROR(
    IF(Table_2[[#This Row],[Arr/ Dep]]="A",
        IF(
            INDEX(B8:B252,MATCH(Table_2[[#This Row],[A/C]],H8:H252,0))
            - IF(Table_2[[#This Row],[ETA/ETD]]="",Table_2[[#This Row],[STA/STD]],Table_2[[#This Row],[ETA/ETD]]) &lt; 0,
            "ASAP",
            IF(Table_2[[#This Row],[ETA/ETD]]="",
                INDEX(B8:B252,MATCH(Table_2[[#This Row],[A/C]],H8:H252,0))-Table_2[[#This Row],[STA/STD]],
                INDEX(B8:B252,MATCH(Table_2[[#This Row],[A/C]],H8:H252,0))-Table_2[[#This Row],[ETA/ETD]])
        ),
        ""
    ),
"TBC")</f>
        <v>0.38819444444379769</v>
      </c>
      <c r="N7" s="140" t="str" cm="1">
        <f t="array" ref="N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DEFECT</v>
      </c>
      <c r="O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7" s="135" t="str">
        <f>Table_2[[#This Row],[A/C]]&amp;Table_2[[#This Row],[Column2]]</f>
        <v>BKKAUO693</v>
      </c>
      <c r="Q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" s="166" t="str">
        <f>IFERROR(Table_2[[#This Row],[UTC TIME]]-TIME(1,30,0),"")</f>
        <v/>
      </c>
      <c r="S7" s="138"/>
      <c r="T7" s="196"/>
      <c r="U7" s="83"/>
      <c r="V7" s="83"/>
      <c r="W7" s="83"/>
      <c r="X7" s="83"/>
      <c r="Y7" s="83"/>
    </row>
    <row r="8" spans="1:25">
      <c r="A8" s="140" t="s">
        <v>55</v>
      </c>
      <c r="B8" s="163">
        <v>46066.072916666664</v>
      </c>
      <c r="C8" s="163">
        <v>46066.057638888888</v>
      </c>
      <c r="D8" s="136" t="s">
        <v>1094</v>
      </c>
      <c r="E8" s="140" t="s">
        <v>56</v>
      </c>
      <c r="F8" s="280" t="s">
        <v>57</v>
      </c>
      <c r="G8" s="280"/>
      <c r="H8" s="144" t="s">
        <v>168</v>
      </c>
      <c r="I8" s="140" t="s">
        <v>1087</v>
      </c>
      <c r="J8" s="140" t="s">
        <v>26</v>
      </c>
      <c r="K8" s="135" t="str">
        <f>LEFT(Table_2[[#This Row],[Flt. ID]],2)&amp;RIGHT(Table_2[[#This Row],[Flt. ID]],3)</f>
        <v>UO717</v>
      </c>
      <c r="L8" s="131" t="str">
        <f>"H"&amp;ROW(Table_2[[#This Row],[A/C]])+1&amp;":H300"</f>
        <v>H9:H300</v>
      </c>
      <c r="M8" s="164">
        <f>IFERROR(
    IF(Table_2[[#This Row],[Arr/ Dep]]="A",
        IF(
            INDEX(B9:B253,MATCH(Table_2[[#This Row],[A/C]],H9:H253,0))
            - IF(Table_2[[#This Row],[ETA/ETD]]="",Table_2[[#This Row],[STA/STD]],Table_2[[#This Row],[ETA/ETD]]) &lt; 0,
            "ASAP",
            IF(Table_2[[#This Row],[ETA/ETD]]="",
                INDEX(B9:B253,MATCH(Table_2[[#This Row],[A/C]],H9:H253,0))-Table_2[[#This Row],[STA/STD]],
                INDEX(B9:B253,MATCH(Table_2[[#This Row],[A/C]],H9:H253,0))-Table_2[[#This Row],[ETA/ETD]])
        ),
        ""
    ),
"TBC")</f>
        <v>0.33125000000291038</v>
      </c>
      <c r="N8" s="140" t="str" cm="1">
        <f t="array" ref="N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8" s="135" t="str">
        <f>Table_2[[#This Row],[A/C]]&amp;Table_2[[#This Row],[Column2]]</f>
        <v>BLCMUO717</v>
      </c>
      <c r="Q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" s="166" t="str">
        <f>IFERROR(Table_2[[#This Row],[UTC TIME]]-TIME(1,30,0),"")</f>
        <v/>
      </c>
      <c r="S8" s="167"/>
      <c r="T8" s="186"/>
      <c r="U8" s="127"/>
      <c r="V8" s="127"/>
      <c r="W8" s="83"/>
      <c r="X8" s="83"/>
      <c r="Y8" s="83"/>
    </row>
    <row r="9" spans="1:25">
      <c r="A9" s="140" t="s">
        <v>59</v>
      </c>
      <c r="B9" s="163">
        <v>46066.083333333336</v>
      </c>
      <c r="C9" s="163"/>
      <c r="D9" s="136" t="s">
        <v>1095</v>
      </c>
      <c r="E9" s="140" t="s">
        <v>28</v>
      </c>
      <c r="F9" s="280" t="s">
        <v>29</v>
      </c>
      <c r="G9" s="280"/>
      <c r="H9" s="144" t="s">
        <v>35</v>
      </c>
      <c r="I9" s="140" t="s">
        <v>36</v>
      </c>
      <c r="J9" s="140" t="s">
        <v>42</v>
      </c>
      <c r="K9" s="135" t="str">
        <f>LEFT(Table_2[[#This Row],[Flt. ID]],2)&amp;RIGHT(Table_2[[#This Row],[Flt. ID]],3)</f>
        <v>UO854</v>
      </c>
      <c r="L9" s="131" t="str">
        <f>"H"&amp;ROW(Table_2[[#This Row],[A/C]])+1&amp;":H300"</f>
        <v>H10:H300</v>
      </c>
      <c r="M9" s="164" t="str">
        <f>IFERROR(
    IF(Table_2[[#This Row],[Arr/ Dep]]="A",
        IF(
            INDEX(B10:B254,MATCH(Table_2[[#This Row],[A/C]],H10:H254,0))
            - IF(Table_2[[#This Row],[ETA/ETD]]="",Table_2[[#This Row],[STA/STD]],Table_2[[#This Row],[ETA/ETD]]) &lt; 0,
            "ASAP",
            IF(Table_2[[#This Row],[ETA/ETD]]="",
                INDEX(B10:B254,MATCH(Table_2[[#This Row],[A/C]],H10:H254,0))-Table_2[[#This Row],[STA/STD]],
                INDEX(B10:B254,MATCH(Table_2[[#This Row],[A/C]],H10:H254,0))-Table_2[[#This Row],[ETA/ETD]])
        ),
        ""
    ),
"TBC")</f>
        <v/>
      </c>
      <c r="N9" s="140" t="str" cm="1">
        <f t="array" ref="N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9" s="135" t="str">
        <f>Table_2[[#This Row],[A/C]]&amp;Table_2[[#This Row],[Column2]]</f>
        <v>BKKOUO854</v>
      </c>
      <c r="Q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" s="166" t="str">
        <f>IFERROR(Table_2[[#This Row],[UTC TIME]]-TIME(1,30,0),"")</f>
        <v/>
      </c>
      <c r="S9" s="167"/>
      <c r="T9" s="186"/>
      <c r="U9" s="127"/>
      <c r="V9" s="127"/>
      <c r="W9" s="83"/>
      <c r="X9" s="83"/>
      <c r="Y9" s="83"/>
    </row>
    <row r="10" spans="1:25" hidden="1">
      <c r="A10" s="140" t="s">
        <v>296</v>
      </c>
      <c r="B10" s="163">
        <v>46066.097222222219</v>
      </c>
      <c r="C10" s="163"/>
      <c r="D10" s="136" t="s">
        <v>1096</v>
      </c>
      <c r="E10" s="140" t="s">
        <v>136</v>
      </c>
      <c r="F10" s="280" t="s">
        <v>137</v>
      </c>
      <c r="G10" s="280"/>
      <c r="H10" s="144" t="s">
        <v>101</v>
      </c>
      <c r="I10" s="140" t="s">
        <v>221</v>
      </c>
      <c r="J10" s="140" t="s">
        <v>42</v>
      </c>
      <c r="K10" s="135" t="str">
        <f>LEFT(Table_2[[#This Row],[Flt. ID]],2)&amp;RIGHT(Table_2[[#This Row],[Flt. ID]],3)</f>
        <v>UO656</v>
      </c>
      <c r="L10" s="131" t="str">
        <f>"H"&amp;ROW(Table_2[[#This Row],[A/C]])+1&amp;":H300"</f>
        <v>H11:H300</v>
      </c>
      <c r="M10" s="164" t="str">
        <f>IFERROR(
    IF(Table_2[[#This Row],[Arr/ Dep]]="A",
        IF(
            INDEX(B11:B255,MATCH(Table_2[[#This Row],[A/C]],H11:H255,0))
            - IF(Table_2[[#This Row],[ETA/ETD]]="",Table_2[[#This Row],[STA/STD]],Table_2[[#This Row],[ETA/ETD]]) &lt; 0,
            "ASAP",
            IF(Table_2[[#This Row],[ETA/ETD]]="",
                INDEX(B11:B255,MATCH(Table_2[[#This Row],[A/C]],H11:H255,0))-Table_2[[#This Row],[STA/STD]],
                INDEX(B11:B255,MATCH(Table_2[[#This Row],[A/C]],H11:H255,0))-Table_2[[#This Row],[ETA/ETD]])
        ),
        ""
    ),
"TBC")</f>
        <v/>
      </c>
      <c r="N10" s="140" t="str" cm="1">
        <f t="array" ref="N1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0" s="135" t="str">
        <f>Table_2[[#This Row],[A/C]]&amp;Table_2[[#This Row],[Column2]]</f>
        <v>BLEIUO656</v>
      </c>
      <c r="Q1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" s="166" t="str">
        <f>IFERROR(Table_2[[#This Row],[UTC TIME]]-TIME(1,30,0),"")</f>
        <v/>
      </c>
      <c r="S10" s="167"/>
      <c r="T10" s="186"/>
      <c r="U10" s="127"/>
      <c r="V10" s="127"/>
      <c r="W10" s="83"/>
      <c r="X10" s="83"/>
      <c r="Y10" s="83"/>
    </row>
    <row r="11" spans="1:25">
      <c r="A11" s="140" t="s">
        <v>62</v>
      </c>
      <c r="B11" s="163">
        <v>46066.114583333336</v>
      </c>
      <c r="C11" s="163"/>
      <c r="D11" s="136" t="s">
        <v>1097</v>
      </c>
      <c r="E11" s="140" t="s">
        <v>63</v>
      </c>
      <c r="F11" s="280" t="s">
        <v>64</v>
      </c>
      <c r="G11" s="280"/>
      <c r="H11" s="144" t="s">
        <v>44</v>
      </c>
      <c r="I11" s="140" t="s">
        <v>48</v>
      </c>
      <c r="J11" s="140" t="s">
        <v>42</v>
      </c>
      <c r="K11" s="135" t="str">
        <f>LEFT(Table_2[[#This Row],[Flt. ID]],2)&amp;RIGHT(Table_2[[#This Row],[Flt. ID]],3)</f>
        <v>UO676</v>
      </c>
      <c r="L11" s="131" t="str">
        <f>"H"&amp;ROW(Table_2[[#This Row],[A/C]])+1&amp;":H300"</f>
        <v>H12:H300</v>
      </c>
      <c r="M11" s="164" t="str">
        <f>IFERROR(
    IF(Table_2[[#This Row],[Arr/ Dep]]="A",
        IF(
            INDEX(B12:B256,MATCH(Table_2[[#This Row],[A/C]],H12:H256,0))
            - IF(Table_2[[#This Row],[ETA/ETD]]="",Table_2[[#This Row],[STA/STD]],Table_2[[#This Row],[ETA/ETD]]) &lt; 0,
            "ASAP",
            IF(Table_2[[#This Row],[ETA/ETD]]="",
                INDEX(B12:B256,MATCH(Table_2[[#This Row],[A/C]],H12:H256,0))-Table_2[[#This Row],[STA/STD]],
                INDEX(B12:B256,MATCH(Table_2[[#This Row],[A/C]],H12:H256,0))-Table_2[[#This Row],[ETA/ETD]])
        ),
        ""
    ),
"TBC")</f>
        <v/>
      </c>
      <c r="N11" s="140" t="str" cm="1">
        <f t="array" ref="N1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1" s="135" t="str">
        <f>Table_2[[#This Row],[A/C]]&amp;Table_2[[#This Row],[Column2]]</f>
        <v>BKKPUO676</v>
      </c>
      <c r="Q1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" s="166" t="str">
        <f>IFERROR(Table_2[[#This Row],[UTC TIME]]-TIME(1,30,0),"")</f>
        <v/>
      </c>
      <c r="S11" s="167"/>
      <c r="T11" s="186"/>
      <c r="U11" s="83"/>
      <c r="V11" s="83"/>
      <c r="W11" s="83"/>
      <c r="X11" s="83"/>
      <c r="Y11" s="83"/>
    </row>
    <row r="12" spans="1:25">
      <c r="A12" s="140" t="s">
        <v>65</v>
      </c>
      <c r="B12" s="163">
        <v>46066.177083333336</v>
      </c>
      <c r="C12" s="163">
        <v>46066.164583333331</v>
      </c>
      <c r="D12" s="136" t="s">
        <v>1099</v>
      </c>
      <c r="E12" s="140" t="s">
        <v>66</v>
      </c>
      <c r="F12" s="280" t="s">
        <v>67</v>
      </c>
      <c r="G12" s="280"/>
      <c r="H12" s="144" t="s">
        <v>40</v>
      </c>
      <c r="I12" s="140" t="s">
        <v>1098</v>
      </c>
      <c r="J12" s="140" t="s">
        <v>26</v>
      </c>
      <c r="K12" s="135" t="str">
        <f>LEFT(Table_2[[#This Row],[Flt. ID]],2)&amp;RIGHT(Table_2[[#This Row],[Flt. ID]],3)</f>
        <v>UO623</v>
      </c>
      <c r="L12" s="131" t="str">
        <f>"H"&amp;ROW(Table_2[[#This Row],[A/C]])+1&amp;":H300"</f>
        <v>H13:H300</v>
      </c>
      <c r="M12" s="164">
        <f>IFERROR(
    IF(Table_2[[#This Row],[Arr/ Dep]]="A",
        IF(
            INDEX(B13:B257,MATCH(Table_2[[#This Row],[A/C]],H13:H257,0))
            - IF(Table_2[[#This Row],[ETA/ETD]]="",Table_2[[#This Row],[STA/STD]],Table_2[[#This Row],[ETA/ETD]]) &lt; 0,
            "ASAP",
            IF(Table_2[[#This Row],[ETA/ETD]]="",
                INDEX(B13:B257,MATCH(Table_2[[#This Row],[A/C]],H13:H257,0))-Table_2[[#This Row],[STA/STD]],
                INDEX(B13:B257,MATCH(Table_2[[#This Row],[A/C]],H13:H257,0))-Table_2[[#This Row],[ETA/ETD]])
        ),
        ""
    ),
"TBC")</f>
        <v>0.28680555555911269</v>
      </c>
      <c r="N12" s="140" t="str" cm="1">
        <f t="array" ref="N1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2" s="135" t="str">
        <f>Table_2[[#This Row],[A/C]]&amp;Table_2[[#This Row],[Column2]]</f>
        <v>BKKCUO623</v>
      </c>
      <c r="Q1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" s="166" t="str">
        <f>IFERROR(Table_2[[#This Row],[UTC TIME]]-TIME(1,30,0),"")</f>
        <v/>
      </c>
      <c r="S12" s="167"/>
      <c r="T12" s="186"/>
      <c r="U12" s="127"/>
      <c r="V12" s="127"/>
      <c r="W12" s="83"/>
      <c r="X12" s="83"/>
      <c r="Y12" s="83"/>
    </row>
    <row r="13" spans="1:25">
      <c r="A13" s="140" t="s">
        <v>70</v>
      </c>
      <c r="B13" s="163">
        <v>46066.180555555555</v>
      </c>
      <c r="C13" s="163">
        <v>46066.17083333333</v>
      </c>
      <c r="D13" s="136" t="s">
        <v>1100</v>
      </c>
      <c r="E13" s="140" t="s">
        <v>71</v>
      </c>
      <c r="F13" s="280" t="s">
        <v>72</v>
      </c>
      <c r="G13" s="280"/>
      <c r="H13" s="144" t="s">
        <v>73</v>
      </c>
      <c r="I13" s="140" t="s">
        <v>90</v>
      </c>
      <c r="J13" s="140" t="s">
        <v>26</v>
      </c>
      <c r="K13" s="135" t="str">
        <f>LEFT(Table_2[[#This Row],[Flt. ID]],2)&amp;RIGHT(Table_2[[#This Row],[Flt. ID]],3)</f>
        <v>UO517</v>
      </c>
      <c r="L13" s="131" t="str">
        <f>"H"&amp;ROW(Table_2[[#This Row],[A/C]])+1&amp;":H300"</f>
        <v>H14:H300</v>
      </c>
      <c r="M13" s="164">
        <f>IFERROR(
    IF(Table_2[[#This Row],[Arr/ Dep]]="A",
        IF(
            INDEX(B14:B258,MATCH(Table_2[[#This Row],[A/C]],H14:H258,0))
            - IF(Table_2[[#This Row],[ETA/ETD]]="",Table_2[[#This Row],[STA/STD]],Table_2[[#This Row],[ETA/ETD]]) &lt; 0,
            "ASAP",
            IF(Table_2[[#This Row],[ETA/ETD]]="",
                INDEX(B14:B258,MATCH(Table_2[[#This Row],[A/C]],H14:H258,0))-Table_2[[#This Row],[STA/STD]],
                INDEX(B14:B258,MATCH(Table_2[[#This Row],[A/C]],H14:H258,0))-Table_2[[#This Row],[ETA/ETD]])
        ),
        ""
    ),
"TBC")</f>
        <v>0.12777777777955635</v>
      </c>
      <c r="N13" s="140" t="str" cm="1">
        <f t="array" ref="N1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3" s="135" t="str">
        <f>Table_2[[#This Row],[A/C]]&amp;Table_2[[#This Row],[Column2]]</f>
        <v>BKKLUO517</v>
      </c>
      <c r="Q1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" s="166" t="str">
        <f>IFERROR(Table_2[[#This Row],[UTC TIME]]-TIME(1,30,0),"")</f>
        <v/>
      </c>
      <c r="S13" s="167"/>
      <c r="T13" s="186"/>
      <c r="U13" s="127"/>
      <c r="V13" s="127"/>
      <c r="W13" s="83"/>
      <c r="X13" s="83"/>
      <c r="Y13" s="83"/>
    </row>
    <row r="14" spans="1:25">
      <c r="A14" s="140" t="s">
        <v>74</v>
      </c>
      <c r="B14" s="163">
        <v>46066.190972222219</v>
      </c>
      <c r="C14" s="163">
        <v>46066.206944444442</v>
      </c>
      <c r="D14" s="136" t="s">
        <v>1106</v>
      </c>
      <c r="E14" s="140" t="s">
        <v>75</v>
      </c>
      <c r="F14" s="280" t="s">
        <v>76</v>
      </c>
      <c r="G14" s="280"/>
      <c r="H14" s="144" t="s">
        <v>54</v>
      </c>
      <c r="I14" s="140" t="s">
        <v>85</v>
      </c>
      <c r="J14" s="140" t="s">
        <v>26</v>
      </c>
      <c r="K14" s="135" t="str">
        <f>LEFT(Table_2[[#This Row],[Flt. ID]],2)&amp;RIGHT(Table_2[[#This Row],[Flt. ID]],3)</f>
        <v>UO749</v>
      </c>
      <c r="L14" s="131" t="str">
        <f>"H"&amp;ROW(Table_2[[#This Row],[A/C]])+1&amp;":H300"</f>
        <v>H15:H300</v>
      </c>
      <c r="M14" s="164">
        <f>IFERROR(
    IF(Table_2[[#This Row],[Arr/ Dep]]="A",
        IF(
            INDEX(B15:B259,MATCH(Table_2[[#This Row],[A/C]],H15:H259,0))
            - IF(Table_2[[#This Row],[ETA/ETD]]="",Table_2[[#This Row],[STA/STD]],Table_2[[#This Row],[ETA/ETD]]) &lt; 0,
            "ASAP",
            IF(Table_2[[#This Row],[ETA/ETD]]="",
                INDEX(B15:B259,MATCH(Table_2[[#This Row],[A/C]],H15:H259,0))-Table_2[[#This Row],[STA/STD]],
                INDEX(B15:B259,MATCH(Table_2[[#This Row],[A/C]],H15:H259,0))-Table_2[[#This Row],[ETA/ETD]])
        ),
        ""
    ),
"TBC")</f>
        <v>0.11944444444816327</v>
      </c>
      <c r="N14" s="140" t="str" cm="1">
        <f t="array" ref="N1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4" s="135" t="str">
        <f>Table_2[[#This Row],[A/C]]&amp;Table_2[[#This Row],[Column2]]</f>
        <v>BKKEUO749</v>
      </c>
      <c r="Q1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" s="166" t="str">
        <f>IFERROR(Table_2[[#This Row],[UTC TIME]]-TIME(1,30,0),"")</f>
        <v/>
      </c>
      <c r="S14" s="167"/>
      <c r="T14" s="186"/>
      <c r="U14" s="127"/>
      <c r="V14" s="127"/>
      <c r="W14" s="83"/>
      <c r="X14" s="83"/>
      <c r="Y14" s="83"/>
    </row>
    <row r="15" spans="1:25" hidden="1">
      <c r="A15" s="140" t="s">
        <v>79</v>
      </c>
      <c r="B15" s="163">
        <v>46066.197916666664</v>
      </c>
      <c r="C15" s="163">
        <v>46066.169444444444</v>
      </c>
      <c r="D15" s="136" t="s">
        <v>1101</v>
      </c>
      <c r="E15" s="140" t="s">
        <v>80</v>
      </c>
      <c r="F15" s="280" t="s">
        <v>81</v>
      </c>
      <c r="G15" s="280"/>
      <c r="H15" s="144" t="s">
        <v>175</v>
      </c>
      <c r="I15" s="140" t="s">
        <v>48</v>
      </c>
      <c r="J15" s="140" t="s">
        <v>26</v>
      </c>
      <c r="K15" s="135" t="str">
        <f>LEFT(Table_2[[#This Row],[Flt. ID]],2)&amp;RIGHT(Table_2[[#This Row],[Flt. ID]],3)</f>
        <v>UO791</v>
      </c>
      <c r="L15" s="131" t="str">
        <f>"H"&amp;ROW(Table_2[[#This Row],[A/C]])+1&amp;":H300"</f>
        <v>H16:H300</v>
      </c>
      <c r="M15" s="164">
        <f>IFERROR(
    IF(Table_2[[#This Row],[Arr/ Dep]]="A",
        IF(
            INDEX(B16:B260,MATCH(Table_2[[#This Row],[A/C]],H16:H260,0))
            - IF(Table_2[[#This Row],[ETA/ETD]]="",Table_2[[#This Row],[STA/STD]],Table_2[[#This Row],[ETA/ETD]]) &lt; 0,
            "ASAP",
            IF(Table_2[[#This Row],[ETA/ETD]]="",
                INDEX(B16:B260,MATCH(Table_2[[#This Row],[A/C]],H16:H260,0))-Table_2[[#This Row],[STA/STD]],
                INDEX(B16:B260,MATCH(Table_2[[#This Row],[A/C]],H16:H260,0))-Table_2[[#This Row],[ETA/ETD]])
        ),
        ""
    ),
"TBC")</f>
        <v>0.27847222222044365</v>
      </c>
      <c r="N15" s="140" t="str" cm="1">
        <f t="array" ref="N1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5" s="135" t="str">
        <f>Table_2[[#This Row],[A/C]]&amp;Table_2[[#This Row],[Column2]]</f>
        <v>BHTIUO791</v>
      </c>
      <c r="Q1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" s="166" t="str">
        <f>IFERROR(Table_2[[#This Row],[UTC TIME]]-TIME(1,30,0),"")</f>
        <v/>
      </c>
      <c r="S15" s="167"/>
      <c r="T15" s="186"/>
      <c r="U15" s="127"/>
      <c r="V15" s="127"/>
      <c r="W15" s="83"/>
      <c r="X15" s="83"/>
      <c r="Y15" s="83"/>
    </row>
    <row r="16" spans="1:25">
      <c r="A16" s="140" t="s">
        <v>83</v>
      </c>
      <c r="B16" s="163">
        <v>46066.229166666664</v>
      </c>
      <c r="C16" s="163">
        <v>46066.206250000003</v>
      </c>
      <c r="D16" s="136" t="s">
        <v>1107</v>
      </c>
      <c r="E16" s="140" t="s">
        <v>38</v>
      </c>
      <c r="F16" s="280" t="s">
        <v>39</v>
      </c>
      <c r="G16" s="280"/>
      <c r="H16" s="144" t="s">
        <v>153</v>
      </c>
      <c r="I16" s="140" t="s">
        <v>69</v>
      </c>
      <c r="J16" s="140" t="s">
        <v>26</v>
      </c>
      <c r="K16" s="135" t="str">
        <f>LEFT(Table_2[[#This Row],[Flt. ID]],2)&amp;RIGHT(Table_2[[#This Row],[Flt. ID]],3)</f>
        <v>UO615</v>
      </c>
      <c r="L16" s="131" t="str">
        <f>"H"&amp;ROW(Table_2[[#This Row],[A/C]])+1&amp;":H300"</f>
        <v>H17:H300</v>
      </c>
      <c r="M16" s="164">
        <f>IFERROR(
    IF(Table_2[[#This Row],[Arr/ Dep]]="A",
        IF(
            INDEX(B17:B261,MATCH(Table_2[[#This Row],[A/C]],H17:H261,0))
            - IF(Table_2[[#This Row],[ETA/ETD]]="",Table_2[[#This Row],[STA/STD]],Table_2[[#This Row],[ETA/ETD]]) &lt; 0,
            "ASAP",
            IF(Table_2[[#This Row],[ETA/ETD]]="",
                INDEX(B17:B261,MATCH(Table_2[[#This Row],[A/C]],H17:H261,0))-Table_2[[#This Row],[STA/STD]],
                INDEX(B17:B261,MATCH(Table_2[[#This Row],[A/C]],H17:H261,0))-Table_2[[#This Row],[ETA/ETD]])
        ),
        ""
    ),
"TBC")</f>
        <v>0.15833333333284827</v>
      </c>
      <c r="N16" s="140" t="str" cm="1">
        <f t="array" ref="N1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6" s="135" t="str">
        <f>Table_2[[#This Row],[A/C]]&amp;Table_2[[#This Row],[Column2]]</f>
        <v>BKKMUO615</v>
      </c>
      <c r="Q1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" s="166" t="str">
        <f>IFERROR(Table_2[[#This Row],[UTC TIME]]-TIME(1,30,0),"")</f>
        <v/>
      </c>
      <c r="S16" s="167"/>
      <c r="T16" s="186"/>
      <c r="U16" s="83"/>
      <c r="V16" s="83"/>
      <c r="W16" s="83"/>
      <c r="X16" s="83"/>
      <c r="Y16" s="83"/>
    </row>
    <row r="17" spans="1:25">
      <c r="A17" s="140" t="s">
        <v>91</v>
      </c>
      <c r="B17" s="163">
        <v>46066.260416666664</v>
      </c>
      <c r="C17" s="163">
        <v>46066.246527777781</v>
      </c>
      <c r="D17" s="136" t="s">
        <v>1109</v>
      </c>
      <c r="E17" s="140" t="s">
        <v>66</v>
      </c>
      <c r="F17" s="280" t="s">
        <v>67</v>
      </c>
      <c r="G17" s="280"/>
      <c r="H17" s="144" t="s">
        <v>163</v>
      </c>
      <c r="I17" s="140" t="s">
        <v>31</v>
      </c>
      <c r="J17" s="140" t="s">
        <v>26</v>
      </c>
      <c r="K17" s="135" t="str">
        <f>LEFT(Table_2[[#This Row],[Flt. ID]],2)&amp;RIGHT(Table_2[[#This Row],[Flt. ID]],3)</f>
        <v>UO629</v>
      </c>
      <c r="L17" s="131" t="str">
        <f>"H"&amp;ROW(Table_2[[#This Row],[A/C]])+1&amp;":H300"</f>
        <v>H18:H300</v>
      </c>
      <c r="M17" s="164">
        <f>IFERROR(
    IF(Table_2[[#This Row],[Arr/ Dep]]="A",
        IF(
            INDEX(B18:B262,MATCH(Table_2[[#This Row],[A/C]],H18:H262,0))
            - IF(Table_2[[#This Row],[ETA/ETD]]="",Table_2[[#This Row],[STA/STD]],Table_2[[#This Row],[ETA/ETD]]) &lt; 0,
            "ASAP",
            IF(Table_2[[#This Row],[ETA/ETD]]="",
                INDEX(B18:B262,MATCH(Table_2[[#This Row],[A/C]],H18:H262,0))-Table_2[[#This Row],[STA/STD]],
                INDEX(B18:B262,MATCH(Table_2[[#This Row],[A/C]],H18:H262,0))-Table_2[[#This Row],[ETA/ETD]])
        ),
        ""
    ),
"TBC")</f>
        <v>6.5972222218988463E-2</v>
      </c>
      <c r="N17" s="140" t="str" cm="1">
        <f t="array" ref="N1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7" s="135" t="str">
        <f>Table_2[[#This Row],[A/C]]&amp;Table_2[[#This Row],[Column2]]</f>
        <v>BKKBUO629</v>
      </c>
      <c r="Q1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" s="166" t="str">
        <f>IFERROR(Table_2[[#This Row],[UTC TIME]]-TIME(1,30,0),"")</f>
        <v/>
      </c>
      <c r="S17" s="167"/>
      <c r="T17" s="186"/>
      <c r="U17" s="127"/>
      <c r="V17" s="127"/>
      <c r="W17" s="83"/>
      <c r="X17" s="83"/>
      <c r="Y17" s="83"/>
    </row>
    <row r="18" spans="1:25" hidden="1">
      <c r="A18" s="140" t="s">
        <v>94</v>
      </c>
      <c r="B18" s="163">
        <v>46066.274305555555</v>
      </c>
      <c r="C18" s="163">
        <v>46066.230555555558</v>
      </c>
      <c r="D18" s="136" t="s">
        <v>1108</v>
      </c>
      <c r="E18" s="140" t="s">
        <v>95</v>
      </c>
      <c r="F18" s="280" t="s">
        <v>96</v>
      </c>
      <c r="G18" s="280"/>
      <c r="H18" s="144" t="s">
        <v>82</v>
      </c>
      <c r="I18" s="140" t="s">
        <v>173</v>
      </c>
      <c r="J18" s="140" t="s">
        <v>26</v>
      </c>
      <c r="K18" s="135" t="str">
        <f>LEFT(Table_2[[#This Row],[Flt. ID]],2)&amp;RIGHT(Table_2[[#This Row],[Flt. ID]],3)</f>
        <v>UO261</v>
      </c>
      <c r="L18" s="131" t="str">
        <f>"H"&amp;ROW(Table_2[[#This Row],[A/C]])+1&amp;":H300"</f>
        <v>H19:H300</v>
      </c>
      <c r="M18" s="164">
        <f>IFERROR(
    IF(Table_2[[#This Row],[Arr/ Dep]]="A",
        IF(
            INDEX(B19:B263,MATCH(Table_2[[#This Row],[A/C]],H19:H263,0))
            - IF(Table_2[[#This Row],[ETA/ETD]]="",Table_2[[#This Row],[STA/STD]],Table_2[[#This Row],[ETA/ETD]]) &lt; 0,
            "ASAP",
            IF(Table_2[[#This Row],[ETA/ETD]]="",
                INDEX(B19:B263,MATCH(Table_2[[#This Row],[A/C]],H19:H263,0))-Table_2[[#This Row],[STA/STD]],
                INDEX(B19:B263,MATCH(Table_2[[#This Row],[A/C]],H19:H263,0))-Table_2[[#This Row],[ETA/ETD]])
        ),
        ""
    ),
"TBC")</f>
        <v>8.8888888887595385E-2</v>
      </c>
      <c r="N18" s="140" t="str" cm="1">
        <f t="array" ref="N1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46065</v>
      </c>
      <c r="P18" s="135" t="str">
        <f>Table_2[[#This Row],[A/C]]&amp;Table_2[[#This Row],[Column2]]</f>
        <v>BLEGUO261</v>
      </c>
      <c r="Q1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" s="166" t="str">
        <f>IFERROR(Table_2[[#This Row],[UTC TIME]]-TIME(1,30,0),"")</f>
        <v/>
      </c>
      <c r="S18" s="167"/>
      <c r="T18" s="186"/>
      <c r="U18" s="127"/>
      <c r="V18" s="127"/>
      <c r="W18" s="83"/>
      <c r="X18" s="83"/>
      <c r="Y18" s="83"/>
    </row>
    <row r="19" spans="1:25">
      <c r="A19" s="140" t="s">
        <v>99</v>
      </c>
      <c r="B19" s="163">
        <v>46066.298611111109</v>
      </c>
      <c r="C19" s="163"/>
      <c r="D19" s="136" t="s">
        <v>1110</v>
      </c>
      <c r="E19" s="140" t="s">
        <v>38</v>
      </c>
      <c r="F19" s="280" t="s">
        <v>39</v>
      </c>
      <c r="G19" s="280"/>
      <c r="H19" s="144" t="s">
        <v>73</v>
      </c>
      <c r="I19" s="140" t="s">
        <v>90</v>
      </c>
      <c r="J19" s="140" t="s">
        <v>42</v>
      </c>
      <c r="K19" s="135" t="str">
        <f>LEFT(Table_2[[#This Row],[Flt. ID]],2)&amp;RIGHT(Table_2[[#This Row],[Flt. ID]],3)</f>
        <v>UO618</v>
      </c>
      <c r="L19" s="131" t="str">
        <f>"H"&amp;ROW(Table_2[[#This Row],[A/C]])+1&amp;":H300"</f>
        <v>H20:H300</v>
      </c>
      <c r="M19" s="164" t="str">
        <f>IFERROR(
    IF(Table_2[[#This Row],[Arr/ Dep]]="A",
        IF(
            INDEX(B20:B264,MATCH(Table_2[[#This Row],[A/C]],H20:H264,0))
            - IF(Table_2[[#This Row],[ETA/ETD]]="",Table_2[[#This Row],[STA/STD]],Table_2[[#This Row],[ETA/ETD]]) &lt; 0,
            "ASAP",
            IF(Table_2[[#This Row],[ETA/ETD]]="",
                INDEX(B20:B264,MATCH(Table_2[[#This Row],[A/C]],H20:H264,0))-Table_2[[#This Row],[STA/STD]],
                INDEX(B20:B264,MATCH(Table_2[[#This Row],[A/C]],H20:H264,0))-Table_2[[#This Row],[ETA/ETD]])
        ),
        ""
    ),
"TBC")</f>
        <v/>
      </c>
      <c r="N19" s="140" t="str" cm="1">
        <f t="array" ref="N1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9" s="135" t="str">
        <f>Table_2[[#This Row],[A/C]]&amp;Table_2[[#This Row],[Column2]]</f>
        <v>BKKLUO618</v>
      </c>
      <c r="Q1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" s="166" t="str">
        <f>IFERROR(Table_2[[#This Row],[UTC TIME]]-TIME(1,30,0),"")</f>
        <v/>
      </c>
      <c r="S19" s="167"/>
      <c r="T19" s="186"/>
      <c r="U19" s="83"/>
      <c r="V19" s="83"/>
      <c r="W19" s="83"/>
      <c r="X19" s="83"/>
      <c r="Y19" s="83"/>
    </row>
    <row r="20" spans="1:25">
      <c r="A20" s="140" t="s">
        <v>100</v>
      </c>
      <c r="B20" s="163">
        <v>46066.309027777781</v>
      </c>
      <c r="C20" s="163"/>
      <c r="D20" s="136" t="s">
        <v>1111</v>
      </c>
      <c r="E20" s="140" t="s">
        <v>50</v>
      </c>
      <c r="F20" s="280" t="s">
        <v>51</v>
      </c>
      <c r="G20" s="280"/>
      <c r="H20" s="144" t="s">
        <v>218</v>
      </c>
      <c r="I20" s="140" t="s">
        <v>169</v>
      </c>
      <c r="J20" s="140" t="s">
        <v>42</v>
      </c>
      <c r="K20" s="135" t="str">
        <f>LEFT(Table_2[[#This Row],[Flt. ID]],2)&amp;RIGHT(Table_2[[#This Row],[Flt. ID]],3)</f>
        <v>UO522</v>
      </c>
      <c r="L20" s="131" t="str">
        <f>"H"&amp;ROW(Table_2[[#This Row],[A/C]])+1&amp;":H300"</f>
        <v>H21:H300</v>
      </c>
      <c r="M20" s="164" t="str">
        <f>IFERROR(
    IF(Table_2[[#This Row],[Arr/ Dep]]="A",
        IF(
            INDEX(B21:B265,MATCH(Table_2[[#This Row],[A/C]],H21:H265,0))
            - IF(Table_2[[#This Row],[ETA/ETD]]="",Table_2[[#This Row],[STA/STD]],Table_2[[#This Row],[ETA/ETD]]) &lt; 0,
            "ASAP",
            IF(Table_2[[#This Row],[ETA/ETD]]="",
                INDEX(B21:B265,MATCH(Table_2[[#This Row],[A/C]],H21:H265,0))-Table_2[[#This Row],[STA/STD]],
                INDEX(B21:B265,MATCH(Table_2[[#This Row],[A/C]],H21:H265,0))-Table_2[[#This Row],[ETA/ETD]])
        ),
        ""
    ),
"TBC")</f>
        <v/>
      </c>
      <c r="N20" s="140" t="str" cm="1">
        <f t="array" ref="N2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0" s="135" t="str">
        <f>Table_2[[#This Row],[A/C]]&amp;Table_2[[#This Row],[Column2]]</f>
        <v>BHSLUO522</v>
      </c>
      <c r="Q2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" s="166" t="str">
        <f>IFERROR(Table_2[[#This Row],[UTC TIME]]-TIME(1,30,0),"")</f>
        <v/>
      </c>
      <c r="S20" s="167"/>
      <c r="T20" s="186"/>
      <c r="U20" s="127"/>
      <c r="V20" s="127"/>
      <c r="W20" s="83"/>
      <c r="X20" s="83"/>
      <c r="Y20" s="83"/>
    </row>
    <row r="21" spans="1:25">
      <c r="A21" s="140" t="s">
        <v>102</v>
      </c>
      <c r="B21" s="163">
        <v>46066.309027777781</v>
      </c>
      <c r="C21" s="163"/>
      <c r="D21" s="136" t="s">
        <v>1113</v>
      </c>
      <c r="E21" s="140" t="s">
        <v>103</v>
      </c>
      <c r="F21" s="280" t="s">
        <v>104</v>
      </c>
      <c r="G21" s="280"/>
      <c r="H21" s="144" t="s">
        <v>24</v>
      </c>
      <c r="I21" s="140" t="s">
        <v>159</v>
      </c>
      <c r="J21" s="140" t="s">
        <v>42</v>
      </c>
      <c r="K21" s="135" t="str">
        <f>LEFT(Table_2[[#This Row],[Flt. ID]],2)&amp;RIGHT(Table_2[[#This Row],[Flt. ID]],3)</f>
        <v>UO724</v>
      </c>
      <c r="L21" s="131" t="str">
        <f>"H"&amp;ROW(Table_2[[#This Row],[A/C]])+1&amp;":H300"</f>
        <v>H22:H300</v>
      </c>
      <c r="M21" s="164" t="str">
        <f>IFERROR(
    IF(Table_2[[#This Row],[Arr/ Dep]]="A",
        IF(
            INDEX(B22:B266,MATCH(Table_2[[#This Row],[A/C]],H22:H266,0))
            - IF(Table_2[[#This Row],[ETA/ETD]]="",Table_2[[#This Row],[STA/STD]],Table_2[[#This Row],[ETA/ETD]]) &lt; 0,
            "ASAP",
            IF(Table_2[[#This Row],[ETA/ETD]]="",
                INDEX(B22:B266,MATCH(Table_2[[#This Row],[A/C]],H22:H266,0))-Table_2[[#This Row],[STA/STD]],
                INDEX(B22:B266,MATCH(Table_2[[#This Row],[A/C]],H22:H266,0))-Table_2[[#This Row],[ETA/ETD]])
        ),
        ""
    ),
"TBC")</f>
        <v/>
      </c>
      <c r="N21" s="140" t="str" cm="1">
        <f t="array" ref="N2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1" s="135" t="str">
        <f>Table_2[[#This Row],[A/C]]&amp;Table_2[[#This Row],[Column2]]</f>
        <v>BLCSUO724</v>
      </c>
      <c r="Q2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" s="166" t="str">
        <f>IFERROR(Table_2[[#This Row],[UTC TIME]]-TIME(1,30,0),"")</f>
        <v/>
      </c>
      <c r="S21" s="167"/>
      <c r="T21" s="186"/>
      <c r="U21" s="127"/>
      <c r="V21" s="127"/>
      <c r="W21" s="127"/>
      <c r="X21" s="127"/>
      <c r="Y21" s="127"/>
    </row>
    <row r="22" spans="1:25">
      <c r="A22" s="140" t="s">
        <v>105</v>
      </c>
      <c r="B22" s="163">
        <v>46066.3125</v>
      </c>
      <c r="C22" s="163"/>
      <c r="D22" s="136" t="s">
        <v>1112</v>
      </c>
      <c r="E22" s="140" t="s">
        <v>106</v>
      </c>
      <c r="F22" s="280" t="s">
        <v>107</v>
      </c>
      <c r="G22" s="280"/>
      <c r="H22" s="144" t="s">
        <v>163</v>
      </c>
      <c r="I22" s="140" t="s">
        <v>31</v>
      </c>
      <c r="J22" s="140" t="s">
        <v>42</v>
      </c>
      <c r="K22" s="135" t="str">
        <f>LEFT(Table_2[[#This Row],[Flt. ID]],2)&amp;RIGHT(Table_2[[#This Row],[Flt. ID]],3)</f>
        <v>UO820</v>
      </c>
      <c r="L22" s="131" t="str">
        <f>"H"&amp;ROW(Table_2[[#This Row],[A/C]])+1&amp;":H300"</f>
        <v>H23:H300</v>
      </c>
      <c r="M22" s="164" t="str">
        <f>IFERROR(
    IF(Table_2[[#This Row],[Arr/ Dep]]="A",
        IF(
            INDEX(B23:B267,MATCH(Table_2[[#This Row],[A/C]],H23:H267,0))
            - IF(Table_2[[#This Row],[ETA/ETD]]="",Table_2[[#This Row],[STA/STD]],Table_2[[#This Row],[ETA/ETD]]) &lt; 0,
            "ASAP",
            IF(Table_2[[#This Row],[ETA/ETD]]="",
                INDEX(B23:B267,MATCH(Table_2[[#This Row],[A/C]],H23:H267,0))-Table_2[[#This Row],[STA/STD]],
                INDEX(B23:B267,MATCH(Table_2[[#This Row],[A/C]],H23:H267,0))-Table_2[[#This Row],[ETA/ETD]])
        ),
        ""
    ),
"TBC")</f>
        <v/>
      </c>
      <c r="N22" s="140" t="str" cm="1">
        <f t="array" ref="N2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2" s="135" t="str">
        <f>Table_2[[#This Row],[A/C]]&amp;Table_2[[#This Row],[Column2]]</f>
        <v>BKKBUO820</v>
      </c>
      <c r="Q2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" s="166" t="str">
        <f>IFERROR(Table_2[[#This Row],[UTC TIME]]-TIME(1,30,0),"")</f>
        <v/>
      </c>
      <c r="S22" s="167"/>
      <c r="T22" s="186"/>
      <c r="U22" s="127"/>
      <c r="V22" s="127"/>
      <c r="W22" s="127"/>
      <c r="X22" s="127"/>
      <c r="Y22" s="127"/>
    </row>
    <row r="23" spans="1:25">
      <c r="A23" s="140" t="s">
        <v>300</v>
      </c>
      <c r="B23" s="163">
        <v>46066.3125</v>
      </c>
      <c r="C23" s="163"/>
      <c r="D23" s="136" t="s">
        <v>1114</v>
      </c>
      <c r="E23" s="140" t="s">
        <v>301</v>
      </c>
      <c r="F23" s="280" t="s">
        <v>302</v>
      </c>
      <c r="G23" s="280" t="s">
        <v>303</v>
      </c>
      <c r="H23" s="144" t="s">
        <v>186</v>
      </c>
      <c r="I23" s="140" t="s">
        <v>93</v>
      </c>
      <c r="J23" s="140" t="s">
        <v>42</v>
      </c>
      <c r="K23" s="135" t="str">
        <f>LEFT(Table_2[[#This Row],[Flt. ID]],2)&amp;RIGHT(Table_2[[#This Row],[Flt. ID]],3)</f>
        <v>UO011</v>
      </c>
      <c r="L23" s="131" t="str">
        <f>"H"&amp;ROW(Table_2[[#This Row],[A/C]])+1&amp;":H300"</f>
        <v>H24:H300</v>
      </c>
      <c r="M23" s="164" t="str">
        <f>IFERROR(
    IF(Table_2[[#This Row],[Arr/ Dep]]="A",
        IF(
            INDEX(B24:B268,MATCH(Table_2[[#This Row],[A/C]],H24:H268,0))
            - IF(Table_2[[#This Row],[ETA/ETD]]="",Table_2[[#This Row],[STA/STD]],Table_2[[#This Row],[ETA/ETD]]) &lt; 0,
            "ASAP",
            IF(Table_2[[#This Row],[ETA/ETD]]="",
                INDEX(B24:B268,MATCH(Table_2[[#This Row],[A/C]],H24:H268,0))-Table_2[[#This Row],[STA/STD]],
                INDEX(B24:B268,MATCH(Table_2[[#This Row],[A/C]],H24:H268,0))-Table_2[[#This Row],[ETA/ETD]])
        ),
        ""
    ),
"TBC")</f>
        <v/>
      </c>
      <c r="N23" s="140" t="str" cm="1">
        <f t="array" ref="N2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3" s="135" t="str">
        <f>Table_2[[#This Row],[A/C]]&amp;Table_2[[#This Row],[Column2]]</f>
        <v>BHSNUO011</v>
      </c>
      <c r="Q2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" s="166" t="str">
        <f>IFERROR(Table_2[[#This Row],[UTC TIME]]-TIME(1,30,0),"")</f>
        <v/>
      </c>
      <c r="S23" s="167"/>
      <c r="T23" s="186"/>
      <c r="U23" s="127"/>
      <c r="V23" s="127"/>
      <c r="W23" s="127"/>
      <c r="X23" s="127"/>
      <c r="Y23" s="127"/>
    </row>
    <row r="24" spans="1:25">
      <c r="A24" s="140" t="s">
        <v>110</v>
      </c>
      <c r="B24" s="163">
        <v>46066.319444444445</v>
      </c>
      <c r="C24" s="163"/>
      <c r="D24" s="136" t="s">
        <v>1124</v>
      </c>
      <c r="E24" s="140" t="s">
        <v>111</v>
      </c>
      <c r="F24" s="280" t="s">
        <v>112</v>
      </c>
      <c r="G24" s="280"/>
      <c r="H24" s="144" t="s">
        <v>30</v>
      </c>
      <c r="I24" s="140" t="s">
        <v>109</v>
      </c>
      <c r="J24" s="140" t="s">
        <v>42</v>
      </c>
      <c r="K24" s="135" t="str">
        <f>LEFT(Table_2[[#This Row],[Flt. ID]],2)&amp;RIGHT(Table_2[[#This Row],[Flt. ID]],3)</f>
        <v>UO192</v>
      </c>
      <c r="L24" s="131" t="str">
        <f>"H"&amp;ROW(Table_2[[#This Row],[A/C]])+1&amp;":H300"</f>
        <v>H25:H300</v>
      </c>
      <c r="M24" s="164" t="str">
        <f>IFERROR(
    IF(Table_2[[#This Row],[Arr/ Dep]]="A",
        IF(
            INDEX(B25:B269,MATCH(Table_2[[#This Row],[A/C]],H25:H269,0))
            - IF(Table_2[[#This Row],[ETA/ETD]]="",Table_2[[#This Row],[STA/STD]],Table_2[[#This Row],[ETA/ETD]]) &lt; 0,
            "ASAP",
            IF(Table_2[[#This Row],[ETA/ETD]]="",
                INDEX(B25:B269,MATCH(Table_2[[#This Row],[A/C]],H25:H269,0))-Table_2[[#This Row],[STA/STD]],
                INDEX(B25:B269,MATCH(Table_2[[#This Row],[A/C]],H25:H269,0))-Table_2[[#This Row],[ETA/ETD]])
        ),
        ""
    ),
"TBC")</f>
        <v/>
      </c>
      <c r="N24" s="140" t="str" cm="1">
        <f t="array" ref="N2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72H,10D</v>
      </c>
      <c r="O2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4" s="135" t="str">
        <f>Table_2[[#This Row],[A/C]]&amp;Table_2[[#This Row],[Column2]]</f>
        <v>BKKJUO192</v>
      </c>
      <c r="Q24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46065.986111111109</v>
      </c>
      <c r="R24" s="166">
        <f>IFERROR(Table_2[[#This Row],[UTC TIME]]-TIME(1,30,0),"")</f>
        <v>46065.923611111109</v>
      </c>
      <c r="S24" s="167"/>
      <c r="T24" s="186"/>
      <c r="U24" s="127"/>
      <c r="V24" s="127"/>
      <c r="W24" s="127"/>
      <c r="X24" s="127"/>
      <c r="Y24" s="127"/>
    </row>
    <row r="25" spans="1:25">
      <c r="A25" s="140" t="s">
        <v>115</v>
      </c>
      <c r="B25" s="163">
        <v>46066.319444444445</v>
      </c>
      <c r="C25" s="163"/>
      <c r="D25" s="136" t="s">
        <v>1130</v>
      </c>
      <c r="E25" s="140" t="s">
        <v>116</v>
      </c>
      <c r="F25" s="280" t="s">
        <v>117</v>
      </c>
      <c r="G25" s="280"/>
      <c r="H25" s="144" t="s">
        <v>84</v>
      </c>
      <c r="I25" s="140" t="s">
        <v>114</v>
      </c>
      <c r="J25" s="140" t="s">
        <v>42</v>
      </c>
      <c r="K25" s="135" t="str">
        <f>LEFT(Table_2[[#This Row],[Flt. ID]],2)&amp;RIGHT(Table_2[[#This Row],[Flt. ID]],3)</f>
        <v>UO540</v>
      </c>
      <c r="L25" s="131" t="str">
        <f>"H"&amp;ROW(Table_2[[#This Row],[A/C]])+1&amp;":H300"</f>
        <v>H26:H300</v>
      </c>
      <c r="M25" s="164" t="str">
        <f>IFERROR(
    IF(Table_2[[#This Row],[Arr/ Dep]]="A",
        IF(
            INDEX(B26:B270,MATCH(Table_2[[#This Row],[A/C]],H26:H270,0))
            - IF(Table_2[[#This Row],[ETA/ETD]]="",Table_2[[#This Row],[STA/STD]],Table_2[[#This Row],[ETA/ETD]]) &lt; 0,
            "ASAP",
            IF(Table_2[[#This Row],[ETA/ETD]]="",
                INDEX(B26:B270,MATCH(Table_2[[#This Row],[A/C]],H26:H270,0))-Table_2[[#This Row],[STA/STD]],
                INDEX(B26:B270,MATCH(Table_2[[#This Row],[A/C]],H26:H270,0))-Table_2[[#This Row],[ETA/ETD]])
        ),
        ""
    ),
"TBC")</f>
        <v/>
      </c>
      <c r="N25" s="140" t="str" cm="1">
        <f t="array" ref="N2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5" s="135" t="str">
        <f>Table_2[[#This Row],[A/C]]&amp;Table_2[[#This Row],[Column2]]</f>
        <v>BKKGUO540</v>
      </c>
      <c r="Q2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" s="166" t="str">
        <f>IFERROR(Table_2[[#This Row],[UTC TIME]]-TIME(1,30,0),"")</f>
        <v/>
      </c>
      <c r="S25" s="167"/>
      <c r="T25" s="186"/>
      <c r="U25" s="127"/>
      <c r="V25" s="127"/>
      <c r="W25" s="127"/>
      <c r="X25" s="127"/>
      <c r="Y25" s="127"/>
    </row>
    <row r="26" spans="1:25" hidden="1">
      <c r="A26" s="140" t="s">
        <v>118</v>
      </c>
      <c r="B26" s="163">
        <v>46066.319444444445</v>
      </c>
      <c r="C26" s="163"/>
      <c r="D26" s="136" t="s">
        <v>1124</v>
      </c>
      <c r="E26" s="140" t="s">
        <v>119</v>
      </c>
      <c r="F26" s="280" t="s">
        <v>120</v>
      </c>
      <c r="G26" s="280"/>
      <c r="H26" s="144" t="s">
        <v>82</v>
      </c>
      <c r="I26" s="140" t="s">
        <v>173</v>
      </c>
      <c r="J26" s="140" t="s">
        <v>42</v>
      </c>
      <c r="K26" s="135" t="str">
        <f>LEFT(Table_2[[#This Row],[Flt. ID]],2)&amp;RIGHT(Table_2[[#This Row],[Flt. ID]],3)</f>
        <v>UO756</v>
      </c>
      <c r="L26" s="131" t="str">
        <f>"H"&amp;ROW(Table_2[[#This Row],[A/C]])+1&amp;":H300"</f>
        <v>H27:H300</v>
      </c>
      <c r="M26" s="164" t="str">
        <f>IFERROR(
    IF(Table_2[[#This Row],[Arr/ Dep]]="A",
        IF(
            INDEX(B27:B271,MATCH(Table_2[[#This Row],[A/C]],H27:H271,0))
            - IF(Table_2[[#This Row],[ETA/ETD]]="",Table_2[[#This Row],[STA/STD]],Table_2[[#This Row],[ETA/ETD]]) &lt; 0,
            "ASAP",
            IF(Table_2[[#This Row],[ETA/ETD]]="",
                INDEX(B27:B271,MATCH(Table_2[[#This Row],[A/C]],H27:H271,0))-Table_2[[#This Row],[STA/STD]],
                INDEX(B27:B271,MATCH(Table_2[[#This Row],[A/C]],H27:H271,0))-Table_2[[#This Row],[ETA/ETD]])
        ),
        ""
    ),
"TBC")</f>
        <v/>
      </c>
      <c r="N26" s="140" t="str" cm="1">
        <f t="array" ref="N2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6" s="135" t="str">
        <f>Table_2[[#This Row],[A/C]]&amp;Table_2[[#This Row],[Column2]]</f>
        <v>BLEGUO756</v>
      </c>
      <c r="Q2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" s="166" t="str">
        <f>IFERROR(Table_2[[#This Row],[UTC TIME]]-TIME(1,30,0),"")</f>
        <v/>
      </c>
      <c r="S26" s="167"/>
      <c r="T26" s="186"/>
      <c r="U26" s="127"/>
      <c r="V26" s="127"/>
      <c r="W26" s="127"/>
      <c r="X26" s="127"/>
      <c r="Y26" s="127"/>
    </row>
    <row r="27" spans="1:25">
      <c r="A27" s="140" t="s">
        <v>121</v>
      </c>
      <c r="B27" s="163">
        <v>46066.322916666664</v>
      </c>
      <c r="C27" s="163"/>
      <c r="D27" s="136" t="s">
        <v>1125</v>
      </c>
      <c r="E27" s="140" t="s">
        <v>122</v>
      </c>
      <c r="F27" s="280" t="s">
        <v>123</v>
      </c>
      <c r="G27" s="280"/>
      <c r="H27" s="144" t="s">
        <v>92</v>
      </c>
      <c r="I27" s="140" t="s">
        <v>25</v>
      </c>
      <c r="J27" s="140" t="s">
        <v>42</v>
      </c>
      <c r="K27" s="135" t="str">
        <f>LEFT(Table_2[[#This Row],[Flt. ID]],2)&amp;RIGHT(Table_2[[#This Row],[Flt. ID]],3)</f>
        <v>UO600</v>
      </c>
      <c r="L27" s="131" t="str">
        <f>"H"&amp;ROW(Table_2[[#This Row],[A/C]])+1&amp;":H300"</f>
        <v>H28:H300</v>
      </c>
      <c r="M27" s="164" t="str">
        <f>IFERROR(
    IF(Table_2[[#This Row],[Arr/ Dep]]="A",
        IF(
            INDEX(B28:B272,MATCH(Table_2[[#This Row],[A/C]],H28:H272,0))
            - IF(Table_2[[#This Row],[ETA/ETD]]="",Table_2[[#This Row],[STA/STD]],Table_2[[#This Row],[ETA/ETD]]) &lt; 0,
            "ASAP",
            IF(Table_2[[#This Row],[ETA/ETD]]="",
                INDEX(B28:B272,MATCH(Table_2[[#This Row],[A/C]],H28:H272,0))-Table_2[[#This Row],[STA/STD]],
                INDEX(B28:B272,MATCH(Table_2[[#This Row],[A/C]],H28:H272,0))-Table_2[[#This Row],[ETA/ETD]])
        ),
        ""
    ),
"TBC")</f>
        <v/>
      </c>
      <c r="N27" s="140" t="str" cm="1">
        <f t="array" ref="N2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2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7" s="135" t="str">
        <f>Table_2[[#This Row],[A/C]]&amp;Table_2[[#This Row],[Column2]]</f>
        <v>BKKNUO600</v>
      </c>
      <c r="Q27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46065.989583333328</v>
      </c>
      <c r="R27" s="166">
        <f>IFERROR(Table_2[[#This Row],[UTC TIME]]-TIME(1,30,0),"")</f>
        <v>46065.927083333328</v>
      </c>
      <c r="S27" s="167"/>
      <c r="T27" s="186"/>
      <c r="U27" s="127"/>
      <c r="V27" s="127"/>
      <c r="W27" s="127"/>
      <c r="X27" s="127"/>
      <c r="Y27" s="127"/>
    </row>
    <row r="28" spans="1:25">
      <c r="A28" s="140" t="s">
        <v>124</v>
      </c>
      <c r="B28" s="163">
        <v>46066.326388888891</v>
      </c>
      <c r="C28" s="163">
        <v>46066.385416666664</v>
      </c>
      <c r="D28" s="136" t="s">
        <v>1143</v>
      </c>
      <c r="E28" s="140" t="s">
        <v>125</v>
      </c>
      <c r="F28" s="280" t="s">
        <v>126</v>
      </c>
      <c r="G28" s="280"/>
      <c r="H28" s="144" t="s">
        <v>54</v>
      </c>
      <c r="I28" s="140" t="s">
        <v>109</v>
      </c>
      <c r="J28" s="140" t="s">
        <v>42</v>
      </c>
      <c r="K28" s="135" t="str">
        <f>LEFT(Table_2[[#This Row],[Flt. ID]],2)&amp;RIGHT(Table_2[[#This Row],[Flt. ID]],3)</f>
        <v>UO704</v>
      </c>
      <c r="L28" s="131" t="str">
        <f>"H"&amp;ROW(Table_2[[#This Row],[A/C]])+1&amp;":H300"</f>
        <v>H29:H300</v>
      </c>
      <c r="M28" s="164" t="str">
        <f>IFERROR(
    IF(Table_2[[#This Row],[Arr/ Dep]]="A",
        IF(
            INDEX(B29:B273,MATCH(Table_2[[#This Row],[A/C]],H29:H273,0))
            - IF(Table_2[[#This Row],[ETA/ETD]]="",Table_2[[#This Row],[STA/STD]],Table_2[[#This Row],[ETA/ETD]]) &lt; 0,
            "ASAP",
            IF(Table_2[[#This Row],[ETA/ETD]]="",
                INDEX(B29:B273,MATCH(Table_2[[#This Row],[A/C]],H29:H273,0))-Table_2[[#This Row],[STA/STD]],
                INDEX(B29:B273,MATCH(Table_2[[#This Row],[A/C]],H29:H273,0))-Table_2[[#This Row],[ETA/ETD]])
        ),
        ""
    ),
"TBC")</f>
        <v/>
      </c>
      <c r="N28" s="140" t="str" cm="1">
        <f t="array" ref="N2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8" s="135" t="str">
        <f>Table_2[[#This Row],[A/C]]&amp;Table_2[[#This Row],[Column2]]</f>
        <v>BKKEUO704</v>
      </c>
      <c r="Q2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" s="166" t="str">
        <f>IFERROR(Table_2[[#This Row],[UTC TIME]]-TIME(1,30,0),"")</f>
        <v/>
      </c>
      <c r="S28" s="167"/>
      <c r="T28" s="186"/>
      <c r="U28" s="127"/>
      <c r="V28" s="127"/>
      <c r="W28" s="127"/>
      <c r="X28" s="127"/>
      <c r="Y28" s="127"/>
    </row>
    <row r="29" spans="1:25" hidden="1">
      <c r="A29" s="140" t="s">
        <v>127</v>
      </c>
      <c r="B29" s="163">
        <v>46066.329861111109</v>
      </c>
      <c r="C29" s="163"/>
      <c r="D29" s="136" t="s">
        <v>1131</v>
      </c>
      <c r="E29" s="140" t="s">
        <v>128</v>
      </c>
      <c r="F29" s="280" t="s">
        <v>129</v>
      </c>
      <c r="G29" s="280"/>
      <c r="H29" s="144" t="s">
        <v>97</v>
      </c>
      <c r="I29" s="140" t="s">
        <v>273</v>
      </c>
      <c r="J29" s="140" t="s">
        <v>42</v>
      </c>
      <c r="K29" s="135" t="str">
        <f>LEFT(Table_2[[#This Row],[Flt. ID]],2)&amp;RIGHT(Table_2[[#This Row],[Flt. ID]],3)</f>
        <v>UO598</v>
      </c>
      <c r="L29" s="131" t="str">
        <f>"H"&amp;ROW(Table_2[[#This Row],[A/C]])+1&amp;":H300"</f>
        <v>H30:H300</v>
      </c>
      <c r="M29" s="164" t="str">
        <f>IFERROR(
    IF(Table_2[[#This Row],[Arr/ Dep]]="A",
        IF(
            INDEX(B30:B274,MATCH(Table_2[[#This Row],[A/C]],H30:H274,0))
            - IF(Table_2[[#This Row],[ETA/ETD]]="",Table_2[[#This Row],[STA/STD]],Table_2[[#This Row],[ETA/ETD]]) &lt; 0,
            "ASAP",
            IF(Table_2[[#This Row],[ETA/ETD]]="",
                INDEX(B30:B274,MATCH(Table_2[[#This Row],[A/C]],H30:H274,0))-Table_2[[#This Row],[STA/STD]],
                INDEX(B30:B274,MATCH(Table_2[[#This Row],[A/C]],H30:H274,0))-Table_2[[#This Row],[ETA/ETD]])
        ),
        ""
    ),
"TBC")</f>
        <v/>
      </c>
      <c r="N29" s="140" t="str" cm="1">
        <f t="array" ref="N2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29" s="135" t="str">
        <f>Table_2[[#This Row],[A/C]]&amp;Table_2[[#This Row],[Column2]]</f>
        <v>BLEEUO598</v>
      </c>
      <c r="Q2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9" s="166" t="str">
        <f>IFERROR(Table_2[[#This Row],[UTC TIME]]-TIME(1,30,0),"")</f>
        <v/>
      </c>
      <c r="S29" s="167"/>
      <c r="T29" s="186"/>
      <c r="U29" s="127"/>
      <c r="V29" s="127"/>
      <c r="W29" s="127"/>
      <c r="X29" s="127"/>
      <c r="Y29" s="127"/>
    </row>
    <row r="30" spans="1:25" hidden="1">
      <c r="A30" s="140" t="s">
        <v>132</v>
      </c>
      <c r="B30" s="163">
        <v>46066.333333333336</v>
      </c>
      <c r="C30" s="163"/>
      <c r="D30" s="136" t="s">
        <v>1134</v>
      </c>
      <c r="E30" s="140" t="s">
        <v>133</v>
      </c>
      <c r="F30" s="280" t="s">
        <v>134</v>
      </c>
      <c r="G30" s="280"/>
      <c r="H30" s="144" t="s">
        <v>47</v>
      </c>
      <c r="I30" s="140" t="s">
        <v>280</v>
      </c>
      <c r="J30" s="140" t="s">
        <v>42</v>
      </c>
      <c r="K30" s="135" t="str">
        <f>LEFT(Table_2[[#This Row],[Flt. ID]],2)&amp;RIGHT(Table_2[[#This Row],[Flt. ID]],3)</f>
        <v>UO130</v>
      </c>
      <c r="L30" s="131" t="str">
        <f>"H"&amp;ROW(Table_2[[#This Row],[A/C]])+1&amp;":H300"</f>
        <v>H31:H300</v>
      </c>
      <c r="M30" s="164" t="str">
        <f>IFERROR(
    IF(Table_2[[#This Row],[Arr/ Dep]]="A",
        IF(
            INDEX(B31:B275,MATCH(Table_2[[#This Row],[A/C]],H31:H275,0))
            - IF(Table_2[[#This Row],[ETA/ETD]]="",Table_2[[#This Row],[STA/STD]],Table_2[[#This Row],[ETA/ETD]]) &lt; 0,
            "ASAP",
            IF(Table_2[[#This Row],[ETA/ETD]]="",
                INDEX(B31:B275,MATCH(Table_2[[#This Row],[A/C]],H31:H275,0))-Table_2[[#This Row],[STA/STD]],
                INDEX(B31:B275,MATCH(Table_2[[#This Row],[A/C]],H31:H275,0))-Table_2[[#This Row],[ETA/ETD]])
        ),
        ""
    ),
"TBC")</f>
        <v/>
      </c>
      <c r="N30" s="140" t="str" cm="1">
        <f t="array" ref="N3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3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0" s="135" t="str">
        <f>Table_2[[#This Row],[A/C]]&amp;Table_2[[#This Row],[Column2]]</f>
        <v>BLEHUO130</v>
      </c>
      <c r="Q3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0" s="166" t="str">
        <f>IFERROR(Table_2[[#This Row],[UTC TIME]]-TIME(1,30,0),"")</f>
        <v/>
      </c>
      <c r="S30" s="167"/>
      <c r="T30" s="186"/>
      <c r="U30" s="127"/>
      <c r="V30" s="127"/>
      <c r="W30" s="127"/>
      <c r="X30" s="127"/>
      <c r="Y30" s="127"/>
    </row>
    <row r="31" spans="1:25">
      <c r="A31" s="140" t="s">
        <v>139</v>
      </c>
      <c r="B31" s="163">
        <v>46066.350694444445</v>
      </c>
      <c r="C31" s="163"/>
      <c r="D31" s="136" t="s">
        <v>1135</v>
      </c>
      <c r="E31" s="140" t="s">
        <v>140</v>
      </c>
      <c r="F31" s="280" t="s">
        <v>141</v>
      </c>
      <c r="G31" s="280"/>
      <c r="H31" s="144" t="s">
        <v>161</v>
      </c>
      <c r="I31" s="140" t="s">
        <v>240</v>
      </c>
      <c r="J31" s="140" t="s">
        <v>42</v>
      </c>
      <c r="K31" s="135" t="str">
        <f>LEFT(Table_2[[#This Row],[Flt. ID]],2)&amp;RIGHT(Table_2[[#This Row],[Flt. ID]],3)</f>
        <v>UO552</v>
      </c>
      <c r="L31" s="131" t="str">
        <f>"H"&amp;ROW(Table_2[[#This Row],[A/C]])+1&amp;":H300"</f>
        <v>H32:H300</v>
      </c>
      <c r="M31" s="164" t="str">
        <f>IFERROR(
    IF(Table_2[[#This Row],[Arr/ Dep]]="A",
        IF(
            INDEX(B32:B276,MATCH(Table_2[[#This Row],[A/C]],H32:H276,0))
            - IF(Table_2[[#This Row],[ETA/ETD]]="",Table_2[[#This Row],[STA/STD]],Table_2[[#This Row],[ETA/ETD]]) &lt; 0,
            "ASAP",
            IF(Table_2[[#This Row],[ETA/ETD]]="",
                INDEX(B32:B276,MATCH(Table_2[[#This Row],[A/C]],H32:H276,0))-Table_2[[#This Row],[STA/STD]],
                INDEX(B32:B276,MATCH(Table_2[[#This Row],[A/C]],H32:H276,0))-Table_2[[#This Row],[ETA/ETD]])
        ),
        ""
    ),
"TBC")</f>
        <v/>
      </c>
      <c r="N31" s="140" t="str" cm="1">
        <f t="array" ref="N3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3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1" s="153" t="str">
        <f>Table_2[[#This Row],[A/C]]&amp;Table_2[[#This Row],[Column2]]</f>
        <v>BLCHUO552</v>
      </c>
      <c r="Q3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1" s="166" t="str">
        <f>IFERROR(Table_2[[#This Row],[UTC TIME]]-TIME(1,30,0),"")</f>
        <v/>
      </c>
      <c r="S31" s="161"/>
      <c r="T31" s="186" t="s">
        <v>1024</v>
      </c>
      <c r="U31" s="127"/>
      <c r="V31" s="127"/>
      <c r="W31" s="127"/>
      <c r="X31" s="127"/>
      <c r="Y31" s="127"/>
    </row>
    <row r="32" spans="1:25" hidden="1">
      <c r="A32" s="140" t="s">
        <v>246</v>
      </c>
      <c r="B32" s="163">
        <v>46066.364583333336</v>
      </c>
      <c r="C32" s="163"/>
      <c r="D32" s="136" t="s">
        <v>1136</v>
      </c>
      <c r="E32" s="140" t="s">
        <v>247</v>
      </c>
      <c r="F32" s="280" t="s">
        <v>248</v>
      </c>
      <c r="G32" s="280"/>
      <c r="H32" s="144" t="s">
        <v>130</v>
      </c>
      <c r="I32" s="140" t="s">
        <v>45</v>
      </c>
      <c r="J32" s="140" t="s">
        <v>42</v>
      </c>
      <c r="K32" s="135" t="str">
        <f>LEFT(Table_2[[#This Row],[Flt. ID]],2)&amp;RIGHT(Table_2[[#This Row],[Flt. ID]],3)</f>
        <v>UO250</v>
      </c>
      <c r="L32" s="131" t="str">
        <f>"H"&amp;ROW(Table_2[[#This Row],[A/C]])+1&amp;":H300"</f>
        <v>H33:H300</v>
      </c>
      <c r="M32" s="164" t="str">
        <f>IFERROR(
    IF(Table_2[[#This Row],[Arr/ Dep]]="A",
        IF(
            INDEX(B33:B277,MATCH(Table_2[[#This Row],[A/C]],H33:H277,0))
            - IF(Table_2[[#This Row],[ETA/ETD]]="",Table_2[[#This Row],[STA/STD]],Table_2[[#This Row],[ETA/ETD]]) &lt; 0,
            "ASAP",
            IF(Table_2[[#This Row],[ETA/ETD]]="",
                INDEX(B33:B277,MATCH(Table_2[[#This Row],[A/C]],H33:H277,0))-Table_2[[#This Row],[STA/STD]],
                INDEX(B33:B277,MATCH(Table_2[[#This Row],[A/C]],H33:H277,0))-Table_2[[#This Row],[ETA/ETD]])
        ),
        ""
    ),
"TBC")</f>
        <v/>
      </c>
      <c r="N32" s="140" t="str" cm="1">
        <f t="array" ref="N3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3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2" s="135" t="str">
        <f>Table_2[[#This Row],[A/C]]&amp;Table_2[[#This Row],[Column2]]</f>
        <v>BHTHUO250</v>
      </c>
      <c r="Q3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2" s="166" t="str">
        <f>IFERROR(Table_2[[#This Row],[UTC TIME]]-TIME(1,30,0),"")</f>
        <v/>
      </c>
      <c r="S32" s="167"/>
      <c r="T32" s="186"/>
      <c r="U32" s="127"/>
      <c r="V32" s="127"/>
      <c r="W32" s="127"/>
      <c r="X32" s="127"/>
      <c r="Y32" s="127"/>
    </row>
    <row r="33" spans="1:26">
      <c r="A33" s="140" t="s">
        <v>144</v>
      </c>
      <c r="B33" s="163">
        <v>46066.364583333336</v>
      </c>
      <c r="C33" s="163"/>
      <c r="D33" s="136" t="s">
        <v>1137</v>
      </c>
      <c r="E33" s="140" t="s">
        <v>22</v>
      </c>
      <c r="F33" s="280" t="s">
        <v>23</v>
      </c>
      <c r="G33" s="280"/>
      <c r="H33" s="144" t="s">
        <v>153</v>
      </c>
      <c r="I33" s="140" t="s">
        <v>69</v>
      </c>
      <c r="J33" s="140" t="s">
        <v>42</v>
      </c>
      <c r="K33" s="135" t="str">
        <f>LEFT(Table_2[[#This Row],[Flt. ID]],2)&amp;RIGHT(Table_2[[#This Row],[Flt. ID]],3)</f>
        <v>UO686</v>
      </c>
      <c r="L33" s="131" t="str">
        <f>"H"&amp;ROW(Table_2[[#This Row],[A/C]])+1&amp;":H300"</f>
        <v>H34:H300</v>
      </c>
      <c r="M33" s="164" t="str">
        <f>IFERROR(
    IF(Table_2[[#This Row],[Arr/ Dep]]="A",
        IF(
            INDEX(B34:B278,MATCH(Table_2[[#This Row],[A/C]],H34:H278,0))
            - IF(Table_2[[#This Row],[ETA/ETD]]="",Table_2[[#This Row],[STA/STD]],Table_2[[#This Row],[ETA/ETD]]) &lt; 0,
            "ASAP",
            IF(Table_2[[#This Row],[ETA/ETD]]="",
                INDEX(B34:B278,MATCH(Table_2[[#This Row],[A/C]],H34:H278,0))-Table_2[[#This Row],[STA/STD]],
                INDEX(B34:B278,MATCH(Table_2[[#This Row],[A/C]],H34:H278,0))-Table_2[[#This Row],[ETA/ETD]])
        ),
        ""
    ),
"TBC")</f>
        <v/>
      </c>
      <c r="N33" s="140" t="str" cm="1">
        <f t="array" ref="N3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3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3" s="135" t="str">
        <f>Table_2[[#This Row],[A/C]]&amp;Table_2[[#This Row],[Column2]]</f>
        <v>BKKMUO686</v>
      </c>
      <c r="Q3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3" s="166" t="str">
        <f>IFERROR(Table_2[[#This Row],[UTC TIME]]-TIME(1,30,0),"")</f>
        <v/>
      </c>
      <c r="S33" s="161"/>
      <c r="T33" s="186" t="s">
        <v>1024</v>
      </c>
      <c r="U33" s="127"/>
      <c r="V33" s="127"/>
      <c r="W33" s="127"/>
      <c r="X33" s="127"/>
      <c r="Y33" s="127"/>
    </row>
    <row r="34" spans="1:26">
      <c r="A34" s="140" t="s">
        <v>145</v>
      </c>
      <c r="B34" s="163">
        <v>46066.371527777781</v>
      </c>
      <c r="C34" s="163"/>
      <c r="D34" s="136" t="s">
        <v>1138</v>
      </c>
      <c r="E34" s="140" t="s">
        <v>146</v>
      </c>
      <c r="F34" s="280" t="s">
        <v>147</v>
      </c>
      <c r="G34" s="280"/>
      <c r="H34" s="144" t="s">
        <v>113</v>
      </c>
      <c r="I34" s="140" t="s">
        <v>98</v>
      </c>
      <c r="J34" s="140" t="s">
        <v>42</v>
      </c>
      <c r="K34" s="135" t="str">
        <f>LEFT(Table_2[[#This Row],[Flt. ID]],2)&amp;RIGHT(Table_2[[#This Row],[Flt. ID]],3)</f>
        <v>UO674</v>
      </c>
      <c r="L34" s="131" t="str">
        <f>"H"&amp;ROW(Table_2[[#This Row],[A/C]])+1&amp;":H300"</f>
        <v>H35:H300</v>
      </c>
      <c r="M34" s="164" t="str">
        <f>IFERROR(
    IF(Table_2[[#This Row],[Arr/ Dep]]="A",
        IF(
            INDEX(B35:B279,MATCH(Table_2[[#This Row],[A/C]],H35:H279,0))
            - IF(Table_2[[#This Row],[ETA/ETD]]="",Table_2[[#This Row],[STA/STD]],Table_2[[#This Row],[ETA/ETD]]) &lt; 0,
            "ASAP",
            IF(Table_2[[#This Row],[ETA/ETD]]="",
                INDEX(B35:B279,MATCH(Table_2[[#This Row],[A/C]],H35:H279,0))-Table_2[[#This Row],[STA/STD]],
                INDEX(B35:B279,MATCH(Table_2[[#This Row],[A/C]],H35:H279,0))-Table_2[[#This Row],[ETA/ETD]])
        ),
        ""
    ),
"TBC")</f>
        <v/>
      </c>
      <c r="N34" s="140" t="str" cm="1">
        <f t="array" ref="N3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3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4" s="135" t="str">
        <f>Table_2[[#This Row],[A/C]]&amp;Table_2[[#This Row],[Column2]]</f>
        <v>BKKIUO674</v>
      </c>
      <c r="Q34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46066.038194444445</v>
      </c>
      <c r="R34" s="166">
        <f>IFERROR(Table_2[[#This Row],[UTC TIME]]-TIME(1,30,0),"")</f>
        <v>46065.975694444445</v>
      </c>
      <c r="S34" s="161"/>
      <c r="T34" s="186" t="s">
        <v>1024</v>
      </c>
      <c r="U34" s="204"/>
      <c r="V34" s="204"/>
      <c r="W34" s="204"/>
      <c r="X34" s="204"/>
      <c r="Y34" s="127"/>
    </row>
    <row r="35" spans="1:26">
      <c r="A35" s="140" t="s">
        <v>306</v>
      </c>
      <c r="B35" s="163">
        <v>46066.371527777781</v>
      </c>
      <c r="C35" s="163"/>
      <c r="D35" s="136" t="s">
        <v>1139</v>
      </c>
      <c r="E35" s="140" t="s">
        <v>307</v>
      </c>
      <c r="F35" s="280" t="s">
        <v>308</v>
      </c>
      <c r="G35" s="280"/>
      <c r="H35" s="144" t="s">
        <v>60</v>
      </c>
      <c r="I35" s="140" t="s">
        <v>78</v>
      </c>
      <c r="J35" s="140" t="s">
        <v>42</v>
      </c>
      <c r="K35" s="135" t="str">
        <f>LEFT(Table_2[[#This Row],[Flt. ID]],2)&amp;RIGHT(Table_2[[#This Row],[Flt. ID]],3)</f>
        <v>UO890</v>
      </c>
      <c r="L35" s="131" t="str">
        <f>"H"&amp;ROW(Table_2[[#This Row],[A/C]])+1&amp;":H300"</f>
        <v>H36:H300</v>
      </c>
      <c r="M35" s="164" t="str">
        <f>IFERROR(
    IF(Table_2[[#This Row],[Arr/ Dep]]="A",
        IF(
            INDEX(B36:B280,MATCH(Table_2[[#This Row],[A/C]],H36:H280,0))
            - IF(Table_2[[#This Row],[ETA/ETD]]="",Table_2[[#This Row],[STA/STD]],Table_2[[#This Row],[ETA/ETD]]) &lt; 0,
            "ASAP",
            IF(Table_2[[#This Row],[ETA/ETD]]="",
                INDEX(B36:B280,MATCH(Table_2[[#This Row],[A/C]],H36:H280,0))-Table_2[[#This Row],[STA/STD]],
                INDEX(B36:B280,MATCH(Table_2[[#This Row],[A/C]],H36:H280,0))-Table_2[[#This Row],[ETA/ETD]])
        ),
        ""
    ),
"TBC")</f>
        <v/>
      </c>
      <c r="N35" s="140" t="str" cm="1">
        <f t="array" ref="N3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3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5" s="135" t="str">
        <f>Table_2[[#This Row],[A/C]]&amp;Table_2[[#This Row],[Column2]]</f>
        <v>BKKFUO890</v>
      </c>
      <c r="Q3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5" s="166" t="str">
        <f>IFERROR(Table_2[[#This Row],[UTC TIME]]-TIME(1,30,0),"")</f>
        <v/>
      </c>
      <c r="S35" s="161"/>
      <c r="T35" s="186" t="s">
        <v>1024</v>
      </c>
      <c r="U35" s="127"/>
      <c r="V35" s="127"/>
      <c r="W35" s="127"/>
      <c r="X35" s="127"/>
      <c r="Y35" s="127"/>
    </row>
    <row r="36" spans="1:26">
      <c r="A36" s="140" t="s">
        <v>148</v>
      </c>
      <c r="B36" s="163">
        <v>46066.388888888891</v>
      </c>
      <c r="C36" s="163"/>
      <c r="D36" s="136" t="s">
        <v>1145</v>
      </c>
      <c r="E36" s="140" t="s">
        <v>149</v>
      </c>
      <c r="F36" s="280" t="s">
        <v>150</v>
      </c>
      <c r="G36" s="280"/>
      <c r="H36" s="144" t="s">
        <v>168</v>
      </c>
      <c r="I36" s="140" t="s">
        <v>1087</v>
      </c>
      <c r="J36" s="140" t="s">
        <v>42</v>
      </c>
      <c r="K36" s="135" t="str">
        <f>LEFT(Table_2[[#This Row],[Flt. ID]],2)&amp;RIGHT(Table_2[[#This Row],[Flt. ID]],3)</f>
        <v>UO642</v>
      </c>
      <c r="L36" s="131" t="str">
        <f>"H"&amp;ROW(Table_2[[#This Row],[A/C]])+1&amp;":H300"</f>
        <v>H37:H300</v>
      </c>
      <c r="M36" s="164" t="str">
        <f>IFERROR(
    IF(Table_2[[#This Row],[Arr/ Dep]]="A",
        IF(
            INDEX(B37:B281,MATCH(Table_2[[#This Row],[A/C]],H37:H281,0))
            - IF(Table_2[[#This Row],[ETA/ETD]]="",Table_2[[#This Row],[STA/STD]],Table_2[[#This Row],[ETA/ETD]]) &lt; 0,
            "ASAP",
            IF(Table_2[[#This Row],[ETA/ETD]]="",
                INDEX(B37:B281,MATCH(Table_2[[#This Row],[A/C]],H37:H281,0))-Table_2[[#This Row],[STA/STD]],
                INDEX(B37:B281,MATCH(Table_2[[#This Row],[A/C]],H37:H281,0))-Table_2[[#This Row],[ETA/ETD]])
        ),
        ""
    ),
"TBC")</f>
        <v/>
      </c>
      <c r="N36" s="140" t="str" cm="1">
        <f t="array" ref="N3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3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6" s="135" t="str">
        <f>Table_2[[#This Row],[A/C]]&amp;Table_2[[#This Row],[Column2]]</f>
        <v>BLCMUO642</v>
      </c>
      <c r="Q36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46066.055555555555</v>
      </c>
      <c r="R36" s="166">
        <f>IFERROR(Table_2[[#This Row],[UTC TIME]]-TIME(1,30,0),"")</f>
        <v>46065.993055555555</v>
      </c>
      <c r="S36" s="161"/>
      <c r="T36" s="186" t="s">
        <v>1024</v>
      </c>
      <c r="U36" s="127"/>
      <c r="V36" s="205"/>
      <c r="W36" s="127"/>
      <c r="X36" s="127"/>
      <c r="Y36" s="127"/>
    </row>
    <row r="37" spans="1:26">
      <c r="A37" s="140" t="s">
        <v>152</v>
      </c>
      <c r="B37" s="163">
        <v>46066.388888888891</v>
      </c>
      <c r="C37" s="163"/>
      <c r="D37" s="136" t="s">
        <v>1147</v>
      </c>
      <c r="E37" s="140" t="s">
        <v>28</v>
      </c>
      <c r="F37" s="280" t="s">
        <v>29</v>
      </c>
      <c r="G37" s="280"/>
      <c r="H37" s="144" t="s">
        <v>68</v>
      </c>
      <c r="I37" s="140" t="s">
        <v>1085</v>
      </c>
      <c r="J37" s="140" t="s">
        <v>42</v>
      </c>
      <c r="K37" s="135" t="str">
        <f>LEFT(Table_2[[#This Row],[Flt. ID]],2)&amp;RIGHT(Table_2[[#This Row],[Flt. ID]],3)</f>
        <v>UO848</v>
      </c>
      <c r="L37" s="131" t="str">
        <f>"H"&amp;ROW(Table_2[[#This Row],[A/C]])+1&amp;":H300"</f>
        <v>H38:H300</v>
      </c>
      <c r="M37" s="164" t="str">
        <f>IFERROR(
    IF(Table_2[[#This Row],[Arr/ Dep]]="A",
        IF(
            INDEX(B38:B282,MATCH(Table_2[[#This Row],[A/C]],H38:H282,0))
            - IF(Table_2[[#This Row],[ETA/ETD]]="",Table_2[[#This Row],[STA/STD]],Table_2[[#This Row],[ETA/ETD]]) &lt; 0,
            "ASAP",
            IF(Table_2[[#This Row],[ETA/ETD]]="",
                INDEX(B38:B282,MATCH(Table_2[[#This Row],[A/C]],H38:H282,0))-Table_2[[#This Row],[STA/STD]],
                INDEX(B38:B282,MATCH(Table_2[[#This Row],[A/C]],H38:H282,0))-Table_2[[#This Row],[ETA/ETD]])
        ),
        ""
    ),
"TBC")</f>
        <v/>
      </c>
      <c r="N37" s="140" t="str" cm="1">
        <f t="array" ref="N3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3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7" s="135" t="str">
        <f>Table_2[[#This Row],[A/C]]&amp;Table_2[[#This Row],[Column2]]</f>
        <v>BKKDUO848</v>
      </c>
      <c r="Q37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46066.055555555555</v>
      </c>
      <c r="R37" s="166">
        <f>IFERROR(Table_2[[#This Row],[UTC TIME]]-TIME(1,30,0),"")</f>
        <v>46065.993055555555</v>
      </c>
      <c r="S37" s="161"/>
      <c r="T37" s="186" t="s">
        <v>1024</v>
      </c>
      <c r="U37" s="204"/>
      <c r="V37" s="204"/>
      <c r="W37" s="204"/>
      <c r="X37" s="204"/>
      <c r="Y37" s="127"/>
    </row>
    <row r="38" spans="1:26">
      <c r="A38" s="140" t="s">
        <v>309</v>
      </c>
      <c r="B38" s="163">
        <v>46066.395833333336</v>
      </c>
      <c r="C38" s="163"/>
      <c r="D38" s="136" t="s">
        <v>1148</v>
      </c>
      <c r="E38" s="140" t="s">
        <v>310</v>
      </c>
      <c r="F38" s="280" t="s">
        <v>311</v>
      </c>
      <c r="G38" s="280"/>
      <c r="H38" s="144" t="s">
        <v>151</v>
      </c>
      <c r="I38" s="140" t="s">
        <v>31</v>
      </c>
      <c r="J38" s="140" t="s">
        <v>42</v>
      </c>
      <c r="K38" s="135" t="str">
        <f>LEFT(Table_2[[#This Row],[Flt. ID]],2)&amp;RIGHT(Table_2[[#This Row],[Flt. ID]],3)</f>
        <v>UO822</v>
      </c>
      <c r="L38" s="131" t="str">
        <f>"H"&amp;ROW(Table_2[[#This Row],[A/C]])+1&amp;":H300"</f>
        <v>H39:H300</v>
      </c>
      <c r="M38" s="164" t="str">
        <f>IFERROR(
    IF(Table_2[[#This Row],[Arr/ Dep]]="A",
        IF(
            INDEX(B39:B283,MATCH(Table_2[[#This Row],[A/C]],H39:H283,0))
            - IF(Table_2[[#This Row],[ETA/ETD]]="",Table_2[[#This Row],[STA/STD]],Table_2[[#This Row],[ETA/ETD]]) &lt; 0,
            "ASAP",
            IF(Table_2[[#This Row],[ETA/ETD]]="",
                INDEX(B39:B283,MATCH(Table_2[[#This Row],[A/C]],H39:H283,0))-Table_2[[#This Row],[STA/STD]],
                INDEX(B39:B283,MATCH(Table_2[[#This Row],[A/C]],H39:H283,0))-Table_2[[#This Row],[ETA/ETD]])
        ),
        ""
    ),
"TBC")</f>
        <v/>
      </c>
      <c r="N38" s="140" t="str" cm="1">
        <f t="array" ref="N3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3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8" s="135" t="str">
        <f>Table_2[[#This Row],[A/C]]&amp;Table_2[[#This Row],[Column2]]</f>
        <v>BLCLUO822</v>
      </c>
      <c r="Q3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8" s="166" t="str">
        <f>IFERROR(Table_2[[#This Row],[UTC TIME]]-TIME(1,30,0),"")</f>
        <v/>
      </c>
      <c r="S38" s="167" t="s">
        <v>484</v>
      </c>
      <c r="T38" s="186" t="s">
        <v>1024</v>
      </c>
      <c r="U38" s="204"/>
      <c r="V38" s="204"/>
      <c r="W38" s="204"/>
      <c r="X38" s="204"/>
      <c r="Y38" s="127"/>
    </row>
    <row r="39" spans="1:26" hidden="1">
      <c r="A39" s="140" t="s">
        <v>155</v>
      </c>
      <c r="B39" s="163">
        <v>46066.413194444445</v>
      </c>
      <c r="C39" s="163"/>
      <c r="D39" s="136" t="s">
        <v>1153</v>
      </c>
      <c r="E39" s="140" t="s">
        <v>22</v>
      </c>
      <c r="F39" s="280" t="s">
        <v>23</v>
      </c>
      <c r="G39" s="280"/>
      <c r="H39" s="144" t="s">
        <v>52</v>
      </c>
      <c r="I39" s="140" t="s">
        <v>159</v>
      </c>
      <c r="J39" s="140" t="s">
        <v>42</v>
      </c>
      <c r="K39" s="135" t="str">
        <f>LEFT(Table_2[[#This Row],[Flt. ID]],2)&amp;RIGHT(Table_2[[#This Row],[Flt. ID]],3)</f>
        <v>UO850</v>
      </c>
      <c r="L39" s="131" t="str">
        <f>"H"&amp;ROW(Table_2[[#This Row],[A/C]])+1&amp;":H300"</f>
        <v>H40:H300</v>
      </c>
      <c r="M39" s="164" t="str">
        <f>IFERROR(
    IF(Table_2[[#This Row],[Arr/ Dep]]="A",
        IF(
            INDEX(B40:B284,MATCH(Table_2[[#This Row],[A/C]],H40:H284,0))
            - IF(Table_2[[#This Row],[ETA/ETD]]="",Table_2[[#This Row],[STA/STD]],Table_2[[#This Row],[ETA/ETD]]) &lt; 0,
            "ASAP",
            IF(Table_2[[#This Row],[ETA/ETD]]="",
                INDEX(B40:B284,MATCH(Table_2[[#This Row],[A/C]],H40:H284,0))-Table_2[[#This Row],[STA/STD]],
                INDEX(B40:B284,MATCH(Table_2[[#This Row],[A/C]],H40:H284,0))-Table_2[[#This Row],[ETA/ETD]])
        ),
        ""
    ),
"TBC")</f>
        <v/>
      </c>
      <c r="N39" s="140" t="str" cm="1">
        <f t="array" ref="N3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3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39" s="135" t="str">
        <f>Table_2[[#This Row],[A/C]]&amp;Table_2[[#This Row],[Column2]]</f>
        <v>BLEFUO850</v>
      </c>
      <c r="Q3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39" s="166" t="str">
        <f>IFERROR(Table_2[[#This Row],[UTC TIME]]-TIME(1,30,0),"")</f>
        <v/>
      </c>
      <c r="S39" s="167"/>
      <c r="T39" s="186"/>
      <c r="U39" s="204"/>
      <c r="V39" s="204"/>
      <c r="W39" s="204"/>
      <c r="X39" s="204"/>
      <c r="Y39" s="127"/>
    </row>
    <row r="40" spans="1:26">
      <c r="A40" s="140" t="s">
        <v>158</v>
      </c>
      <c r="B40" s="163">
        <v>46066.416666666664</v>
      </c>
      <c r="C40" s="163"/>
      <c r="D40" s="136" t="s">
        <v>1155</v>
      </c>
      <c r="E40" s="140" t="s">
        <v>33</v>
      </c>
      <c r="F40" s="280" t="s">
        <v>34</v>
      </c>
      <c r="G40" s="280"/>
      <c r="H40" s="144" t="s">
        <v>108</v>
      </c>
      <c r="I40" s="140" t="s">
        <v>1086</v>
      </c>
      <c r="J40" s="140" t="s">
        <v>42</v>
      </c>
      <c r="K40" s="135" t="str">
        <f>LEFT(Table_2[[#This Row],[Flt. ID]],2)&amp;RIGHT(Table_2[[#This Row],[Flt. ID]],3)</f>
        <v>UO680</v>
      </c>
      <c r="L40" s="131" t="str">
        <f>"H"&amp;ROW(Table_2[[#This Row],[A/C]])+1&amp;":H300"</f>
        <v>H41:H300</v>
      </c>
      <c r="M40" s="164" t="str">
        <f>IFERROR(
    IF(Table_2[[#This Row],[Arr/ Dep]]="A",
        IF(
            INDEX(B41:B285,MATCH(Table_2[[#This Row],[A/C]],H41:H285,0))
            - IF(Table_2[[#This Row],[ETA/ETD]]="",Table_2[[#This Row],[STA/STD]],Table_2[[#This Row],[ETA/ETD]]) &lt; 0,
            "ASAP",
            IF(Table_2[[#This Row],[ETA/ETD]]="",
                INDEX(B41:B285,MATCH(Table_2[[#This Row],[A/C]],H41:H285,0))-Table_2[[#This Row],[STA/STD]],
                INDEX(B41:B285,MATCH(Table_2[[#This Row],[A/C]],H41:H285,0))-Table_2[[#This Row],[ETA/ETD]])
        ),
        ""
    ),
"TBC")</f>
        <v/>
      </c>
      <c r="N40" s="140" t="str" cm="1">
        <f t="array" ref="N4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0" s="135" t="str">
        <f>Table_2[[#This Row],[A/C]]&amp;Table_2[[#This Row],[Column2]]</f>
        <v>BKKAUO680</v>
      </c>
      <c r="Q4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0" s="166" t="str">
        <f>IFERROR(Table_2[[#This Row],[UTC TIME]]-TIME(1,30,0),"")</f>
        <v/>
      </c>
      <c r="S40" s="167" t="s">
        <v>484</v>
      </c>
      <c r="T40" s="186" t="s">
        <v>1024</v>
      </c>
      <c r="U40" s="204"/>
      <c r="V40" s="204"/>
      <c r="W40" s="204"/>
      <c r="X40" s="204"/>
      <c r="Y40" s="127"/>
    </row>
    <row r="41" spans="1:26">
      <c r="A41" s="140" t="s">
        <v>300</v>
      </c>
      <c r="B41" s="163">
        <v>46066.416666666664</v>
      </c>
      <c r="C41" s="163">
        <v>46066.404861111114</v>
      </c>
      <c r="D41" s="136" t="s">
        <v>1140</v>
      </c>
      <c r="E41" s="140" t="s">
        <v>301</v>
      </c>
      <c r="F41" s="280" t="s">
        <v>302</v>
      </c>
      <c r="G41" s="280" t="s">
        <v>303</v>
      </c>
      <c r="H41" s="144" t="s">
        <v>186</v>
      </c>
      <c r="I41" s="140" t="s">
        <v>176</v>
      </c>
      <c r="J41" s="140" t="s">
        <v>26</v>
      </c>
      <c r="K41" s="135" t="str">
        <f>LEFT(Table_2[[#This Row],[Flt. ID]],2)&amp;RIGHT(Table_2[[#This Row],[Flt. ID]],3)</f>
        <v>UO011</v>
      </c>
      <c r="L41" s="131" t="str">
        <f>"H"&amp;ROW(Table_2[[#This Row],[A/C]])+1&amp;":H300"</f>
        <v>H42:H300</v>
      </c>
      <c r="M41" s="164">
        <f>IFERROR(
    IF(Table_2[[#This Row],[Arr/ Dep]]="A",
        IF(
            INDEX(B42:B286,MATCH(Table_2[[#This Row],[A/C]],H42:H286,0))
            - IF(Table_2[[#This Row],[ETA/ETD]]="",Table_2[[#This Row],[STA/STD]],Table_2[[#This Row],[ETA/ETD]]) &lt; 0,
            "ASAP",
            IF(Table_2[[#This Row],[ETA/ETD]]="",
                INDEX(B42:B286,MATCH(Table_2[[#This Row],[A/C]],H42:H286,0))-Table_2[[#This Row],[STA/STD]],
                INDEX(B42:B286,MATCH(Table_2[[#This Row],[A/C]],H42:H286,0))-Table_2[[#This Row],[ETA/ETD]])
        ),
        ""
    ),
"TBC")</f>
        <v>9.1666666667151731E-2</v>
      </c>
      <c r="N41" s="140" t="str" cm="1">
        <f t="array" ref="N4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1" s="135" t="str">
        <f>Table_2[[#This Row],[A/C]]&amp;Table_2[[#This Row],[Column2]]</f>
        <v>BHSNUO011</v>
      </c>
      <c r="Q4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1" s="166" t="str">
        <f>IFERROR(Table_2[[#This Row],[UTC TIME]]-TIME(1,30,0),"")</f>
        <v/>
      </c>
      <c r="S41" s="167" t="s">
        <v>1123</v>
      </c>
      <c r="T41" s="186" t="s">
        <v>1026</v>
      </c>
      <c r="U41" s="127"/>
      <c r="V41" s="127"/>
      <c r="W41" s="127"/>
      <c r="X41" s="127"/>
      <c r="Y41" s="127"/>
    </row>
    <row r="42" spans="1:26">
      <c r="A42" s="140" t="s">
        <v>160</v>
      </c>
      <c r="B42" s="163">
        <v>46066.423611111109</v>
      </c>
      <c r="C42" s="163"/>
      <c r="D42" s="136" t="s">
        <v>1146</v>
      </c>
      <c r="E42" s="140" t="s">
        <v>128</v>
      </c>
      <c r="F42" s="280" t="s">
        <v>129</v>
      </c>
      <c r="G42" s="280"/>
      <c r="H42" s="144" t="s">
        <v>138</v>
      </c>
      <c r="I42" s="140" t="s">
        <v>41</v>
      </c>
      <c r="J42" s="140" t="s">
        <v>42</v>
      </c>
      <c r="K42" s="135" t="str">
        <f>LEFT(Table_2[[#This Row],[Flt. ID]],2)&amp;RIGHT(Table_2[[#This Row],[Flt. ID]],3)</f>
        <v>UO546</v>
      </c>
      <c r="L42" s="131" t="str">
        <f>"H"&amp;ROW(Table_2[[#This Row],[A/C]])+1&amp;":H300"</f>
        <v>H43:H300</v>
      </c>
      <c r="M42" s="164" t="str">
        <f>IFERROR(
    IF(Table_2[[#This Row],[Arr/ Dep]]="A",
        IF(
            INDEX(B43:B287,MATCH(Table_2[[#This Row],[A/C]],H43:H287,0))
            - IF(Table_2[[#This Row],[ETA/ETD]]="",Table_2[[#This Row],[STA/STD]],Table_2[[#This Row],[ETA/ETD]]) &lt; 0,
            "ASAP",
            IF(Table_2[[#This Row],[ETA/ETD]]="",
                INDEX(B43:B287,MATCH(Table_2[[#This Row],[A/C]],H43:H287,0))-Table_2[[#This Row],[STA/STD]],
                INDEX(B43:B287,MATCH(Table_2[[#This Row],[A/C]],H43:H287,0))-Table_2[[#This Row],[ETA/ETD]])
        ),
        ""
    ),
"TBC")</f>
        <v/>
      </c>
      <c r="N42" s="140" t="str" cm="1">
        <f t="array" ref="N4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2" s="135" t="str">
        <f>Table_2[[#This Row],[A/C]]&amp;Table_2[[#This Row],[Column2]]</f>
        <v>BLCJUO546</v>
      </c>
      <c r="Q4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2" s="166" t="str">
        <f>IFERROR(Table_2[[#This Row],[UTC TIME]]-TIME(1,30,0),"")</f>
        <v/>
      </c>
      <c r="S42" s="167" t="s">
        <v>484</v>
      </c>
      <c r="T42" s="186" t="s">
        <v>1024</v>
      </c>
      <c r="U42" s="204"/>
      <c r="V42" s="204"/>
      <c r="W42" s="204"/>
      <c r="X42" s="204"/>
      <c r="Y42" s="127"/>
    </row>
    <row r="43" spans="1:26">
      <c r="A43" s="140" t="s">
        <v>162</v>
      </c>
      <c r="B43" s="163">
        <v>46066.434027777781</v>
      </c>
      <c r="C43" s="163"/>
      <c r="D43" s="136" t="s">
        <v>1149</v>
      </c>
      <c r="E43" s="140" t="s">
        <v>38</v>
      </c>
      <c r="F43" s="280" t="s">
        <v>39</v>
      </c>
      <c r="G43" s="280"/>
      <c r="H43" s="144" t="s">
        <v>77</v>
      </c>
      <c r="I43" s="140" t="s">
        <v>143</v>
      </c>
      <c r="J43" s="140" t="s">
        <v>42</v>
      </c>
      <c r="K43" s="135" t="str">
        <f>LEFT(Table_2[[#This Row],[Flt. ID]],2)&amp;RIGHT(Table_2[[#This Row],[Flt. ID]],3)</f>
        <v>UO630</v>
      </c>
      <c r="L43" s="131" t="str">
        <f>"H"&amp;ROW(Table_2[[#This Row],[A/C]])+1&amp;":H300"</f>
        <v>H44:H300</v>
      </c>
      <c r="M43" s="164" t="str">
        <f>IFERROR(
    IF(Table_2[[#This Row],[Arr/ Dep]]="A",
        IF(
            INDEX(B44:B288,MATCH(Table_2[[#This Row],[A/C]],H44:H288,0))
            - IF(Table_2[[#This Row],[ETA/ETD]]="",Table_2[[#This Row],[STA/STD]],Table_2[[#This Row],[ETA/ETD]]) &lt; 0,
            "ASAP",
            IF(Table_2[[#This Row],[ETA/ETD]]="",
                INDEX(B44:B288,MATCH(Table_2[[#This Row],[A/C]],H44:H288,0))-Table_2[[#This Row],[STA/STD]],
                INDEX(B44:B288,MATCH(Table_2[[#This Row],[A/C]],H44:H288,0))-Table_2[[#This Row],[ETA/ETD]])
        ),
        ""
    ),
"TBC")</f>
        <v/>
      </c>
      <c r="N43" s="140" t="str" cm="1">
        <f t="array" ref="N4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3" s="135" t="str">
        <f>Table_2[[#This Row],[A/C]]&amp;Table_2[[#This Row],[Column2]]</f>
        <v>BKKHUO630</v>
      </c>
      <c r="Q4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3" s="166" t="str">
        <f>IFERROR(Table_2[[#This Row],[UTC TIME]]-TIME(1,30,0),"")</f>
        <v/>
      </c>
      <c r="S43" s="167" t="s">
        <v>484</v>
      </c>
      <c r="T43" s="186" t="s">
        <v>1024</v>
      </c>
      <c r="U43" s="127"/>
      <c r="V43" s="127"/>
      <c r="W43" s="127"/>
      <c r="X43" s="127"/>
      <c r="Y43" s="127"/>
    </row>
    <row r="44" spans="1:26" s="83" customFormat="1">
      <c r="A44" s="140" t="s">
        <v>164</v>
      </c>
      <c r="B44" s="163">
        <v>46066.434027777781</v>
      </c>
      <c r="C44" s="163">
        <v>46066.412499999999</v>
      </c>
      <c r="D44" s="136" t="s">
        <v>1142</v>
      </c>
      <c r="E44" s="140" t="s">
        <v>63</v>
      </c>
      <c r="F44" s="280" t="s">
        <v>64</v>
      </c>
      <c r="G44" s="280"/>
      <c r="H44" s="144" t="s">
        <v>44</v>
      </c>
      <c r="I44" s="140" t="s">
        <v>78</v>
      </c>
      <c r="J44" s="140" t="s">
        <v>26</v>
      </c>
      <c r="K44" s="135" t="str">
        <f>LEFT(Table_2[[#This Row],[Flt. ID]],2)&amp;RIGHT(Table_2[[#This Row],[Flt. ID]],3)</f>
        <v>UO677</v>
      </c>
      <c r="L44" s="131" t="str">
        <f>"H"&amp;ROW(Table_2[[#This Row],[A/C]])+1&amp;":H300"</f>
        <v>H45:H300</v>
      </c>
      <c r="M44" s="164">
        <f>IFERROR(
    IF(Table_2[[#This Row],[Arr/ Dep]]="A",
        IF(
            INDEX(B45:B289,MATCH(Table_2[[#This Row],[A/C]],H45:H289,0))
            - IF(Table_2[[#This Row],[ETA/ETD]]="",Table_2[[#This Row],[STA/STD]],Table_2[[#This Row],[ETA/ETD]]) &lt; 0,
            "ASAP",
            IF(Table_2[[#This Row],[ETA/ETD]]="",
                INDEX(B45:B289,MATCH(Table_2[[#This Row],[A/C]],H45:H289,0))-Table_2[[#This Row],[STA/STD]],
                INDEX(B45:B289,MATCH(Table_2[[#This Row],[A/C]],H45:H289,0))-Table_2[[#This Row],[ETA/ETD]])
        ),
        ""
    ),
"TBC")</f>
        <v>9.7916666665696539E-2</v>
      </c>
      <c r="N44" s="140" t="str" cm="1">
        <f t="array" ref="N4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4" s="135" t="str">
        <f>Table_2[[#This Row],[A/C]]&amp;Table_2[[#This Row],[Column2]]</f>
        <v>BKKPUO677</v>
      </c>
      <c r="Q4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4" s="166" t="str">
        <f>IFERROR(Table_2[[#This Row],[UTC TIME]]-TIME(1,30,0),"")</f>
        <v/>
      </c>
      <c r="S44" s="167" t="s">
        <v>1121</v>
      </c>
      <c r="T44" s="186" t="s">
        <v>1028</v>
      </c>
      <c r="U44" s="204"/>
      <c r="V44" s="204"/>
      <c r="W44" s="204"/>
      <c r="X44" s="204"/>
      <c r="Y44" s="127"/>
      <c r="Z44" s="159"/>
    </row>
    <row r="45" spans="1:26" hidden="1">
      <c r="A45" s="140" t="s">
        <v>312</v>
      </c>
      <c r="B45" s="163">
        <v>46066.4375</v>
      </c>
      <c r="C45" s="163">
        <v>46066.406944444447</v>
      </c>
      <c r="D45" s="136" t="s">
        <v>1141</v>
      </c>
      <c r="E45" s="140" t="s">
        <v>136</v>
      </c>
      <c r="F45" s="280" t="s">
        <v>137</v>
      </c>
      <c r="G45" s="280"/>
      <c r="H45" s="144" t="s">
        <v>101</v>
      </c>
      <c r="I45" s="140" t="s">
        <v>187</v>
      </c>
      <c r="J45" s="140" t="s">
        <v>26</v>
      </c>
      <c r="K45" s="135" t="str">
        <f>LEFT(Table_2[[#This Row],[Flt. ID]],2)&amp;RIGHT(Table_2[[#This Row],[Flt. ID]],3)</f>
        <v>UO657</v>
      </c>
      <c r="L45" s="131" t="str">
        <f>"H"&amp;ROW(Table_2[[#This Row],[A/C]])+1&amp;":H300"</f>
        <v>H46:H300</v>
      </c>
      <c r="M45" s="164">
        <f>IFERROR(
    IF(Table_2[[#This Row],[Arr/ Dep]]="A",
        IF(
            INDEX(B46:B290,MATCH(Table_2[[#This Row],[A/C]],H46:H290,0))
            - IF(Table_2[[#This Row],[ETA/ETD]]="",Table_2[[#This Row],[STA/STD]],Table_2[[#This Row],[ETA/ETD]]) &lt; 0,
            "ASAP",
            IF(Table_2[[#This Row],[ETA/ETD]]="",
                INDEX(B46:B290,MATCH(Table_2[[#This Row],[A/C]],H46:H290,0))-Table_2[[#This Row],[STA/STD]],
                INDEX(B46:B290,MATCH(Table_2[[#This Row],[A/C]],H46:H290,0))-Table_2[[#This Row],[ETA/ETD]])
        ),
        ""
    ),
"TBC")</f>
        <v>6.8749999998544808E-2</v>
      </c>
      <c r="N45" s="140" t="str" cm="1">
        <f t="array" ref="N4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5" s="135" t="str">
        <f>Table_2[[#This Row],[A/C]]&amp;Table_2[[#This Row],[Column2]]</f>
        <v>BLEIUO657</v>
      </c>
      <c r="Q4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5" s="166" t="str">
        <f>IFERROR(Table_2[[#This Row],[UTC TIME]]-TIME(1,30,0),"")</f>
        <v/>
      </c>
      <c r="S45" s="167"/>
      <c r="T45" s="186"/>
      <c r="U45" s="204"/>
      <c r="V45" s="206"/>
      <c r="W45" s="204"/>
      <c r="X45" s="204"/>
      <c r="Y45" s="127"/>
    </row>
    <row r="46" spans="1:26" hidden="1">
      <c r="A46" s="140" t="s">
        <v>165</v>
      </c>
      <c r="B46" s="163">
        <v>46066.447916666664</v>
      </c>
      <c r="C46" s="163"/>
      <c r="D46" s="136" t="s">
        <v>1151</v>
      </c>
      <c r="E46" s="140" t="s">
        <v>140</v>
      </c>
      <c r="F46" s="280" t="s">
        <v>141</v>
      </c>
      <c r="G46" s="280"/>
      <c r="H46" s="144" t="s">
        <v>175</v>
      </c>
      <c r="I46" s="140" t="s">
        <v>48</v>
      </c>
      <c r="J46" s="140" t="s">
        <v>42</v>
      </c>
      <c r="K46" s="135" t="str">
        <f>LEFT(Table_2[[#This Row],[Flt. ID]],2)&amp;RIGHT(Table_2[[#This Row],[Flt. ID]],3)</f>
        <v>UO502</v>
      </c>
      <c r="L46" s="131" t="str">
        <f>"H"&amp;ROW(Table_2[[#This Row],[A/C]])+1&amp;":H300"</f>
        <v>H47:H300</v>
      </c>
      <c r="M46" s="164" t="str">
        <f>IFERROR(
    IF(Table_2[[#This Row],[Arr/ Dep]]="A",
        IF(
            INDEX(B47:B291,MATCH(Table_2[[#This Row],[A/C]],H47:H291,0))
            - IF(Table_2[[#This Row],[ETA/ETD]]="",Table_2[[#This Row],[STA/STD]],Table_2[[#This Row],[ETA/ETD]]) &lt; 0,
            "ASAP",
            IF(Table_2[[#This Row],[ETA/ETD]]="",
                INDEX(B47:B291,MATCH(Table_2[[#This Row],[A/C]],H47:H291,0))-Table_2[[#This Row],[STA/STD]],
                INDEX(B47:B291,MATCH(Table_2[[#This Row],[A/C]],H47:H291,0))-Table_2[[#This Row],[ETA/ETD]])
        ),
        ""
    ),
"TBC")</f>
        <v/>
      </c>
      <c r="N46" s="140" t="str" cm="1">
        <f t="array" ref="N4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6" s="135" t="str">
        <f>Table_2[[#This Row],[A/C]]&amp;Table_2[[#This Row],[Column2]]</f>
        <v>BHTIUO502</v>
      </c>
      <c r="Q4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6" s="166" t="str">
        <f>IFERROR(Table_2[[#This Row],[UTC TIME]]-TIME(1,30,0),"")</f>
        <v/>
      </c>
      <c r="S46" s="167"/>
      <c r="T46" s="186"/>
      <c r="U46" s="127"/>
      <c r="V46" s="205"/>
      <c r="W46" s="127"/>
      <c r="X46" s="127"/>
      <c r="Y46" s="127"/>
    </row>
    <row r="47" spans="1:26">
      <c r="A47" s="140" t="s">
        <v>166</v>
      </c>
      <c r="B47" s="163">
        <v>46066.451388888891</v>
      </c>
      <c r="C47" s="163"/>
      <c r="D47" s="136" t="s">
        <v>1158</v>
      </c>
      <c r="E47" s="140" t="s">
        <v>28</v>
      </c>
      <c r="F47" s="280" t="s">
        <v>29</v>
      </c>
      <c r="G47" s="280"/>
      <c r="H47" s="144" t="s">
        <v>40</v>
      </c>
      <c r="I47" s="140" t="s">
        <v>1098</v>
      </c>
      <c r="J47" s="140" t="s">
        <v>42</v>
      </c>
      <c r="K47" s="135" t="str">
        <f>LEFT(Table_2[[#This Row],[Flt. ID]],2)&amp;RIGHT(Table_2[[#This Row],[Flt. ID]],3)</f>
        <v>UO870</v>
      </c>
      <c r="L47" s="131" t="str">
        <f>"H"&amp;ROW(Table_2[[#This Row],[A/C]])+1&amp;":H300"</f>
        <v>H48:H300</v>
      </c>
      <c r="M47" s="164" t="str">
        <f>IFERROR(
    IF(Table_2[[#This Row],[Arr/ Dep]]="A",
        IF(
            INDEX(B48:B292,MATCH(Table_2[[#This Row],[A/C]],H48:H292,0))
            - IF(Table_2[[#This Row],[ETA/ETD]]="",Table_2[[#This Row],[STA/STD]],Table_2[[#This Row],[ETA/ETD]]) &lt; 0,
            "ASAP",
            IF(Table_2[[#This Row],[ETA/ETD]]="",
                INDEX(B48:B292,MATCH(Table_2[[#This Row],[A/C]],H48:H292,0))-Table_2[[#This Row],[STA/STD]],
                INDEX(B48:B292,MATCH(Table_2[[#This Row],[A/C]],H48:H292,0))-Table_2[[#This Row],[ETA/ETD]])
        ),
        ""
    ),
"TBC")</f>
        <v/>
      </c>
      <c r="N47" s="140" t="str" cm="1">
        <f t="array" ref="N4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7" s="135" t="str">
        <f>Table_2[[#This Row],[A/C]]&amp;Table_2[[#This Row],[Column2]]</f>
        <v>BKKCUO870</v>
      </c>
      <c r="Q4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7" s="166" t="str">
        <f>IFERROR(Table_2[[#This Row],[UTC TIME]]-TIME(1,30,0),"")</f>
        <v/>
      </c>
      <c r="S47" s="167" t="s">
        <v>484</v>
      </c>
      <c r="T47" s="186" t="s">
        <v>1024</v>
      </c>
      <c r="U47" s="204"/>
      <c r="V47" s="204"/>
      <c r="W47" s="204"/>
      <c r="X47" s="204"/>
      <c r="Y47" s="127"/>
    </row>
    <row r="48" spans="1:26">
      <c r="A48" s="140" t="s">
        <v>167</v>
      </c>
      <c r="B48" s="163">
        <v>46066.454861111109</v>
      </c>
      <c r="C48" s="163"/>
      <c r="D48" s="136" t="s">
        <v>1154</v>
      </c>
      <c r="E48" s="140" t="s">
        <v>111</v>
      </c>
      <c r="F48" s="280" t="s">
        <v>112</v>
      </c>
      <c r="G48" s="280"/>
      <c r="H48" s="144" t="s">
        <v>58</v>
      </c>
      <c r="I48" s="140" t="s">
        <v>221</v>
      </c>
      <c r="J48" s="140" t="s">
        <v>42</v>
      </c>
      <c r="K48" s="135" t="str">
        <f>LEFT(Table_2[[#This Row],[Flt. ID]],2)&amp;RIGHT(Table_2[[#This Row],[Flt. ID]],3)</f>
        <v>UO172</v>
      </c>
      <c r="L48" s="131" t="str">
        <f>"H"&amp;ROW(Table_2[[#This Row],[A/C]])+1&amp;":H300"</f>
        <v>H49:H300</v>
      </c>
      <c r="M48" s="164" t="str">
        <f>IFERROR(
    IF(Table_2[[#This Row],[Arr/ Dep]]="A",
        IF(
            INDEX(B49:B293,MATCH(Table_2[[#This Row],[A/C]],H49:H293,0))
            - IF(Table_2[[#This Row],[ETA/ETD]]="",Table_2[[#This Row],[STA/STD]],Table_2[[#This Row],[ETA/ETD]]) &lt; 0,
            "ASAP",
            IF(Table_2[[#This Row],[ETA/ETD]]="",
                INDEX(B49:B293,MATCH(Table_2[[#This Row],[A/C]],H49:H293,0))-Table_2[[#This Row],[STA/STD]],
                INDEX(B49:B293,MATCH(Table_2[[#This Row],[A/C]],H49:H293,0))-Table_2[[#This Row],[ETA/ETD]])
        ),
        ""
    ),
"TBC")</f>
        <v/>
      </c>
      <c r="N48" s="140" t="str" cm="1">
        <f t="array" ref="N4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4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8" s="135" t="str">
        <f>Table_2[[#This Row],[A/C]]&amp;Table_2[[#This Row],[Column2]]</f>
        <v>BHSMUO172</v>
      </c>
      <c r="Q48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46066.121527777774</v>
      </c>
      <c r="R48" s="166">
        <f>IFERROR(Table_2[[#This Row],[UTC TIME]]-TIME(1,30,0),"")</f>
        <v>46066.059027777774</v>
      </c>
      <c r="S48" s="167" t="s">
        <v>484</v>
      </c>
      <c r="T48" s="186" t="s">
        <v>1024</v>
      </c>
      <c r="U48" s="127"/>
      <c r="V48" s="127"/>
      <c r="W48" s="127"/>
      <c r="X48" s="127"/>
      <c r="Y48" s="127"/>
    </row>
    <row r="49" spans="1:26">
      <c r="A49" s="140" t="s">
        <v>171</v>
      </c>
      <c r="B49" s="163">
        <v>46066.454861111109</v>
      </c>
      <c r="C49" s="163">
        <v>46066.425694444442</v>
      </c>
      <c r="D49" s="136" t="s">
        <v>1144</v>
      </c>
      <c r="E49" s="140" t="s">
        <v>66</v>
      </c>
      <c r="F49" s="280" t="s">
        <v>67</v>
      </c>
      <c r="G49" s="280"/>
      <c r="H49" s="144" t="s">
        <v>172</v>
      </c>
      <c r="I49" s="140" t="s">
        <v>209</v>
      </c>
      <c r="J49" s="140" t="s">
        <v>26</v>
      </c>
      <c r="K49" s="135" t="str">
        <f>LEFT(Table_2[[#This Row],[Flt. ID]],2)&amp;RIGHT(Table_2[[#This Row],[Flt. ID]],3)</f>
        <v>UO625</v>
      </c>
      <c r="L49" s="131" t="str">
        <f>"H"&amp;ROW(Table_2[[#This Row],[A/C]])+1&amp;":H300"</f>
        <v>H50:H300</v>
      </c>
      <c r="M49" s="164">
        <f>IFERROR(
    IF(Table_2[[#This Row],[Arr/ Dep]]="A",
        IF(
            INDEX(B50:B294,MATCH(Table_2[[#This Row],[A/C]],H50:H294,0))
            - IF(Table_2[[#This Row],[ETA/ETD]]="",Table_2[[#This Row],[STA/STD]],Table_2[[#This Row],[ETA/ETD]]) &lt; 0,
            "ASAP",
            IF(Table_2[[#This Row],[ETA/ETD]]="",
                INDEX(B50:B294,MATCH(Table_2[[#This Row],[A/C]],H50:H294,0))-Table_2[[#This Row],[STA/STD]],
                INDEX(B50:B294,MATCH(Table_2[[#This Row],[A/C]],H50:H294,0))-Table_2[[#This Row],[ETA/ETD]])
        ),
        ""
    ),
"TBC")</f>
        <v>6.7361111112404615E-2</v>
      </c>
      <c r="N49" s="140" t="str" cm="1">
        <f t="array" ref="N4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4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49" s="135" t="str">
        <f>Table_2[[#This Row],[A/C]]&amp;Table_2[[#This Row],[Column2]]</f>
        <v>BKKQUO625</v>
      </c>
      <c r="Q4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49" s="166" t="str">
        <f>IFERROR(Table_2[[#This Row],[UTC TIME]]-TIME(1,30,0),"")</f>
        <v/>
      </c>
      <c r="S49" s="167" t="s">
        <v>1123</v>
      </c>
      <c r="T49" s="186" t="s">
        <v>1026</v>
      </c>
      <c r="U49" s="127"/>
      <c r="V49" s="127"/>
      <c r="W49" s="127"/>
      <c r="X49" s="127"/>
      <c r="Y49" s="127"/>
    </row>
    <row r="50" spans="1:26">
      <c r="A50" s="140" t="s">
        <v>316</v>
      </c>
      <c r="B50" s="163">
        <v>46066.454861111109</v>
      </c>
      <c r="C50" s="163"/>
      <c r="D50" s="136" t="s">
        <v>1152</v>
      </c>
      <c r="E50" s="140" t="s">
        <v>38</v>
      </c>
      <c r="F50" s="280" t="s">
        <v>39</v>
      </c>
      <c r="G50" s="280"/>
      <c r="H50" s="144" t="s">
        <v>142</v>
      </c>
      <c r="I50" s="140" t="s">
        <v>131</v>
      </c>
      <c r="J50" s="140" t="s">
        <v>42</v>
      </c>
      <c r="K50" s="135" t="str">
        <f>LEFT(Table_2[[#This Row],[Flt. ID]],2)&amp;RIGHT(Table_2[[#This Row],[Flt. ID]],3)</f>
        <v>UO632</v>
      </c>
      <c r="L50" s="131" t="str">
        <f>"H"&amp;ROW(Table_2[[#This Row],[A/C]])+1&amp;":H300"</f>
        <v>H51:H300</v>
      </c>
      <c r="M50" s="164" t="str">
        <f>IFERROR(
    IF(Table_2[[#This Row],[Arr/ Dep]]="A",
        IF(
            INDEX(B51:B295,MATCH(Table_2[[#This Row],[A/C]],H51:H295,0))
            - IF(Table_2[[#This Row],[ETA/ETD]]="",Table_2[[#This Row],[STA/STD]],Table_2[[#This Row],[ETA/ETD]]) &lt; 0,
            "ASAP",
            IF(Table_2[[#This Row],[ETA/ETD]]="",
                INDEX(B51:B295,MATCH(Table_2[[#This Row],[A/C]],H51:H295,0))-Table_2[[#This Row],[STA/STD]],
                INDEX(B51:B295,MATCH(Table_2[[#This Row],[A/C]],H51:H295,0))-Table_2[[#This Row],[ETA/ETD]])
        ),
        ""
    ),
"TBC")</f>
        <v/>
      </c>
      <c r="N50" s="140" t="str" cm="1">
        <f t="array" ref="N5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0" s="135" t="str">
        <f>Table_2[[#This Row],[A/C]]&amp;Table_2[[#This Row],[Column2]]</f>
        <v>BLCNUO632</v>
      </c>
      <c r="Q5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0" s="166" t="str">
        <f>IFERROR(Table_2[[#This Row],[UTC TIME]]-TIME(1,30,0),"")</f>
        <v/>
      </c>
      <c r="S50" s="167" t="s">
        <v>484</v>
      </c>
      <c r="T50" s="186" t="s">
        <v>1024</v>
      </c>
      <c r="U50" s="204"/>
      <c r="V50" s="204"/>
      <c r="W50" s="204"/>
      <c r="X50" s="204"/>
      <c r="Y50" s="127"/>
    </row>
    <row r="51" spans="1:26" hidden="1">
      <c r="A51" s="140" t="s">
        <v>174</v>
      </c>
      <c r="B51" s="163">
        <v>46066.458333333336</v>
      </c>
      <c r="C51" s="163"/>
      <c r="D51" s="136" t="s">
        <v>1159</v>
      </c>
      <c r="E51" s="140" t="s">
        <v>122</v>
      </c>
      <c r="F51" s="280" t="s">
        <v>123</v>
      </c>
      <c r="G51" s="280"/>
      <c r="H51" s="144" t="s">
        <v>184</v>
      </c>
      <c r="I51" s="140" t="s">
        <v>173</v>
      </c>
      <c r="J51" s="140" t="s">
        <v>42</v>
      </c>
      <c r="K51" s="135" t="str">
        <f>LEFT(Table_2[[#This Row],[Flt. ID]],2)&amp;RIGHT(Table_2[[#This Row],[Flt. ID]],3)</f>
        <v>UO668</v>
      </c>
      <c r="L51" s="131" t="str">
        <f>"H"&amp;ROW(Table_2[[#This Row],[A/C]])+1&amp;":H300"</f>
        <v>H52:H300</v>
      </c>
      <c r="M51" s="164" t="str">
        <f>IFERROR(
    IF(Table_2[[#This Row],[Arr/ Dep]]="A",
        IF(
            INDEX(B52:B296,MATCH(Table_2[[#This Row],[A/C]],H52:H296,0))
            - IF(Table_2[[#This Row],[ETA/ETD]]="",Table_2[[#This Row],[STA/STD]],Table_2[[#This Row],[ETA/ETD]]) &lt; 0,
            "ASAP",
            IF(Table_2[[#This Row],[ETA/ETD]]="",
                INDEX(B52:B296,MATCH(Table_2[[#This Row],[A/C]],H52:H296,0))-Table_2[[#This Row],[STA/STD]],
                INDEX(B52:B296,MATCH(Table_2[[#This Row],[A/C]],H52:H296,0))-Table_2[[#This Row],[ETA/ETD]])
        ),
        ""
    ),
"TBC")</f>
        <v/>
      </c>
      <c r="N51" s="140" t="str" cm="1">
        <f t="array" ref="N5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1" s="135" t="str">
        <f>Table_2[[#This Row],[A/C]]&amp;Table_2[[#This Row],[Column2]]</f>
        <v>BLELUO668</v>
      </c>
      <c r="Q5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1" s="166" t="str">
        <f>IFERROR(Table_2[[#This Row],[UTC TIME]]-TIME(1,30,0),"")</f>
        <v/>
      </c>
      <c r="S51" s="167"/>
      <c r="T51" s="186"/>
      <c r="U51" s="204"/>
      <c r="V51" s="204"/>
      <c r="W51" s="204"/>
      <c r="X51" s="204"/>
      <c r="Y51" s="127"/>
    </row>
    <row r="52" spans="1:26" s="83" customFormat="1" hidden="1">
      <c r="A52" s="140" t="s">
        <v>177</v>
      </c>
      <c r="B52" s="163">
        <v>46066.472222222219</v>
      </c>
      <c r="C52" s="163">
        <v>46066.458333333336</v>
      </c>
      <c r="D52" s="136" t="s">
        <v>1150</v>
      </c>
      <c r="E52" s="140" t="s">
        <v>178</v>
      </c>
      <c r="F52" s="280" t="s">
        <v>179</v>
      </c>
      <c r="G52" s="280"/>
      <c r="H52" s="144" t="s">
        <v>156</v>
      </c>
      <c r="I52" s="140" t="s">
        <v>69</v>
      </c>
      <c r="J52" s="140" t="s">
        <v>26</v>
      </c>
      <c r="K52" s="135" t="str">
        <f>LEFT(Table_2[[#This Row],[Flt. ID]],2)&amp;RIGHT(Table_2[[#This Row],[Flt. ID]],3)</f>
        <v>UO227</v>
      </c>
      <c r="L52" s="131" t="str">
        <f>"H"&amp;ROW(Table_2[[#This Row],[A/C]])+1&amp;":H300"</f>
        <v>H53:H300</v>
      </c>
      <c r="M52" s="164">
        <f>IFERROR(
    IF(Table_2[[#This Row],[Arr/ Dep]]="A",
        IF(
            INDEX(B53:B297,MATCH(Table_2[[#This Row],[A/C]],H53:H297,0))
            - IF(Table_2[[#This Row],[ETA/ETD]]="",Table_2[[#This Row],[STA/STD]],Table_2[[#This Row],[ETA/ETD]]) &lt; 0,
            "ASAP",
            IF(Table_2[[#This Row],[ETA/ETD]]="",
                INDEX(B53:B297,MATCH(Table_2[[#This Row],[A/C]],H53:H297,0))-Table_2[[#This Row],[STA/STD]],
                INDEX(B53:B297,MATCH(Table_2[[#This Row],[A/C]],H53:H297,0))-Table_2[[#This Row],[ETA/ETD]])
        ),
        ""
    ),
"TBC")</f>
        <v>7.9861111109494232E-2</v>
      </c>
      <c r="N52" s="140" t="str" cm="1">
        <f t="array" ref="N5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2" s="135" t="str">
        <f>Table_2[[#This Row],[A/C]]&amp;Table_2[[#This Row],[Column2]]</f>
        <v>BLEDUO227</v>
      </c>
      <c r="Q5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2" s="166" t="str">
        <f>IFERROR(Table_2[[#This Row],[UTC TIME]]-TIME(1,30,0),"")</f>
        <v/>
      </c>
      <c r="S52" s="167"/>
      <c r="T52" s="186"/>
      <c r="U52" s="127"/>
      <c r="V52" s="127"/>
      <c r="W52" s="127"/>
      <c r="X52" s="127"/>
      <c r="Y52" s="127"/>
      <c r="Z52" s="159"/>
    </row>
    <row r="53" spans="1:26" s="83" customFormat="1" hidden="1">
      <c r="A53" s="140" t="s">
        <v>181</v>
      </c>
      <c r="B53" s="163">
        <v>46066.475694444445</v>
      </c>
      <c r="C53" s="163"/>
      <c r="D53" s="136" t="s">
        <v>1160</v>
      </c>
      <c r="E53" s="140" t="s">
        <v>182</v>
      </c>
      <c r="F53" s="280" t="s">
        <v>183</v>
      </c>
      <c r="G53" s="280"/>
      <c r="H53" s="144" t="s">
        <v>101</v>
      </c>
      <c r="I53" s="140" t="s">
        <v>187</v>
      </c>
      <c r="J53" s="140" t="s">
        <v>42</v>
      </c>
      <c r="K53" s="135" t="str">
        <f>LEFT(Table_2[[#This Row],[Flt. ID]],2)&amp;RIGHT(Table_2[[#This Row],[Flt. ID]],3)</f>
        <v>UO110</v>
      </c>
      <c r="L53" s="131" t="str">
        <f>"H"&amp;ROW(Table_2[[#This Row],[A/C]])+1&amp;":H300"</f>
        <v>H54:H300</v>
      </c>
      <c r="M53" s="164" t="str">
        <f>IFERROR(
    IF(Table_2[[#This Row],[Arr/ Dep]]="A",
        IF(
            INDEX(B54:B298,MATCH(Table_2[[#This Row],[A/C]],H54:H298,0))
            - IF(Table_2[[#This Row],[ETA/ETD]]="",Table_2[[#This Row],[STA/STD]],Table_2[[#This Row],[ETA/ETD]]) &lt; 0,
            "ASAP",
            IF(Table_2[[#This Row],[ETA/ETD]]="",
                INDEX(B54:B298,MATCH(Table_2[[#This Row],[A/C]],H54:H298,0))-Table_2[[#This Row],[STA/STD]],
                INDEX(B54:B298,MATCH(Table_2[[#This Row],[A/C]],H54:H298,0))-Table_2[[#This Row],[ETA/ETD]])
        ),
        ""
    ),
"TBC")</f>
        <v/>
      </c>
      <c r="N53" s="140" t="str" cm="1">
        <f t="array" ref="N5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3" s="135" t="str">
        <f>Table_2[[#This Row],[A/C]]&amp;Table_2[[#This Row],[Column2]]</f>
        <v>BLEIUO110</v>
      </c>
      <c r="Q5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3" s="166" t="str">
        <f>IFERROR(Table_2[[#This Row],[UTC TIME]]-TIME(1,30,0),"")</f>
        <v/>
      </c>
      <c r="S53" s="167"/>
      <c r="T53" s="186"/>
      <c r="U53" s="127"/>
      <c r="V53" s="127"/>
      <c r="W53" s="127"/>
      <c r="X53" s="127"/>
      <c r="Y53" s="127"/>
      <c r="Z53" s="159"/>
    </row>
    <row r="54" spans="1:26" s="83" customFormat="1">
      <c r="A54" s="140" t="s">
        <v>185</v>
      </c>
      <c r="B54" s="163">
        <v>46066.489583333336</v>
      </c>
      <c r="C54" s="163"/>
      <c r="D54" s="136" t="s">
        <v>1162</v>
      </c>
      <c r="E54" s="140" t="s">
        <v>140</v>
      </c>
      <c r="F54" s="280" t="s">
        <v>141</v>
      </c>
      <c r="G54" s="280"/>
      <c r="H54" s="144" t="s">
        <v>89</v>
      </c>
      <c r="I54" s="140" t="s">
        <v>157</v>
      </c>
      <c r="J54" s="140" t="s">
        <v>42</v>
      </c>
      <c r="K54" s="135" t="str">
        <f>LEFT(Table_2[[#This Row],[Flt. ID]],2)&amp;RIGHT(Table_2[[#This Row],[Flt. ID]],3)</f>
        <v>UO566</v>
      </c>
      <c r="L54" s="131" t="str">
        <f>"H"&amp;ROW(Table_2[[#This Row],[A/C]])+1&amp;":H300"</f>
        <v>H55:H300</v>
      </c>
      <c r="M54" s="164" t="str">
        <f>IFERROR(
    IF(Table_2[[#This Row],[Arr/ Dep]]="A",
        IF(
            INDEX(B55:B299,MATCH(Table_2[[#This Row],[A/C]],H55:H299,0))
            - IF(Table_2[[#This Row],[ETA/ETD]]="",Table_2[[#This Row],[STA/STD]],Table_2[[#This Row],[ETA/ETD]]) &lt; 0,
            "ASAP",
            IF(Table_2[[#This Row],[ETA/ETD]]="",
                INDEX(B55:B299,MATCH(Table_2[[#This Row],[A/C]],H55:H299,0))-Table_2[[#This Row],[STA/STD]],
                INDEX(B55:B299,MATCH(Table_2[[#This Row],[A/C]],H55:H299,0))-Table_2[[#This Row],[ETA/ETD]])
        ),
        ""
    ),
"TBC")</f>
        <v/>
      </c>
      <c r="N54" s="140" t="str" cm="1">
        <f t="array" ref="N5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4" s="135" t="str">
        <f>Table_2[[#This Row],[A/C]]&amp;Table_2[[#This Row],[Column2]]</f>
        <v>BLCIUO566</v>
      </c>
      <c r="Q5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4" s="166" t="str">
        <f>IFERROR(Table_2[[#This Row],[UTC TIME]]-TIME(1,30,0),"")</f>
        <v/>
      </c>
      <c r="S54" s="167" t="s">
        <v>484</v>
      </c>
      <c r="T54" s="186" t="s">
        <v>1024</v>
      </c>
      <c r="U54" s="204"/>
      <c r="V54" s="206"/>
      <c r="W54" s="206"/>
      <c r="X54" s="204"/>
      <c r="Y54" s="127"/>
      <c r="Z54" s="159"/>
    </row>
    <row r="55" spans="1:26" hidden="1">
      <c r="A55" s="140" t="s">
        <v>188</v>
      </c>
      <c r="B55" s="163">
        <v>46066.493055555555</v>
      </c>
      <c r="C55" s="163">
        <v>46066.479861111111</v>
      </c>
      <c r="D55" s="136" t="s">
        <v>1157</v>
      </c>
      <c r="E55" s="140" t="s">
        <v>133</v>
      </c>
      <c r="F55" s="280" t="s">
        <v>134</v>
      </c>
      <c r="G55" s="280"/>
      <c r="H55" s="144" t="s">
        <v>47</v>
      </c>
      <c r="I55" s="140" t="s">
        <v>36</v>
      </c>
      <c r="J55" s="140" t="s">
        <v>26</v>
      </c>
      <c r="K55" s="135" t="str">
        <f>LEFT(Table_2[[#This Row],[Flt. ID]],2)&amp;RIGHT(Table_2[[#This Row],[Flt. ID]],3)</f>
        <v>UO131</v>
      </c>
      <c r="L55" s="131" t="str">
        <f>"H"&amp;ROW(Table_2[[#This Row],[A/C]])+1&amp;":H300"</f>
        <v>H56:H300</v>
      </c>
      <c r="M55" s="164">
        <f>IFERROR(
    IF(Table_2[[#This Row],[Arr/ Dep]]="A",
        IF(
            INDEX(B56:B300,MATCH(Table_2[[#This Row],[A/C]],H56:H300,0))
            - IF(Table_2[[#This Row],[ETA/ETD]]="",Table_2[[#This Row],[STA/STD]],Table_2[[#This Row],[ETA/ETD]]) &lt; 0,
            "ASAP",
            IF(Table_2[[#This Row],[ETA/ETD]]="",
                INDEX(B56:B300,MATCH(Table_2[[#This Row],[A/C]],H56:H300,0))-Table_2[[#This Row],[STA/STD]],
                INDEX(B56:B300,MATCH(Table_2[[#This Row],[A/C]],H56:H300,0))-Table_2[[#This Row],[ETA/ETD]])
        ),
        ""
    ),
"TBC")</f>
        <v>5.1388888889050577E-2</v>
      </c>
      <c r="N55" s="140" t="str" cm="1">
        <f t="array" ref="N5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5" s="135" t="str">
        <f>Table_2[[#This Row],[A/C]]&amp;Table_2[[#This Row],[Column2]]</f>
        <v>BLEHUO131</v>
      </c>
      <c r="Q5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5" s="166" t="str">
        <f>IFERROR(Table_2[[#This Row],[UTC TIME]]-TIME(1,30,0),"")</f>
        <v/>
      </c>
      <c r="S55" s="167"/>
      <c r="T55" s="186"/>
      <c r="U55" s="204"/>
      <c r="V55" s="204"/>
      <c r="W55" s="204"/>
      <c r="X55" s="204"/>
      <c r="Y55" s="127"/>
    </row>
    <row r="56" spans="1:26">
      <c r="A56" s="140" t="s">
        <v>189</v>
      </c>
      <c r="B56" s="163">
        <v>46066.493055555555</v>
      </c>
      <c r="C56" s="163"/>
      <c r="D56" s="136" t="s">
        <v>1163</v>
      </c>
      <c r="E56" s="140" t="s">
        <v>22</v>
      </c>
      <c r="F56" s="280" t="s">
        <v>23</v>
      </c>
      <c r="G56" s="280"/>
      <c r="H56" s="144" t="s">
        <v>172</v>
      </c>
      <c r="I56" s="140" t="s">
        <v>209</v>
      </c>
      <c r="J56" s="140" t="s">
        <v>42</v>
      </c>
      <c r="K56" s="135" t="str">
        <f>LEFT(Table_2[[#This Row],[Flt. ID]],2)&amp;RIGHT(Table_2[[#This Row],[Flt. ID]],3)</f>
        <v>UO898</v>
      </c>
      <c r="L56" s="131" t="str">
        <f>"H"&amp;ROW(Table_2[[#This Row],[A/C]])+1&amp;":H300"</f>
        <v>H57:H300</v>
      </c>
      <c r="M56" s="164" t="str">
        <f>IFERROR(
    IF(Table_2[[#This Row],[Arr/ Dep]]="A",
        IF(
            INDEX(B57:B301,MATCH(Table_2[[#This Row],[A/C]],H57:H301,0))
            - IF(Table_2[[#This Row],[ETA/ETD]]="",Table_2[[#This Row],[STA/STD]],Table_2[[#This Row],[ETA/ETD]]) &lt; 0,
            "ASAP",
            IF(Table_2[[#This Row],[ETA/ETD]]="",
                INDEX(B57:B301,MATCH(Table_2[[#This Row],[A/C]],H57:H301,0))-Table_2[[#This Row],[STA/STD]],
                INDEX(B57:B301,MATCH(Table_2[[#This Row],[A/C]],H57:H301,0))-Table_2[[#This Row],[ETA/ETD]])
        ),
        ""
    ),
"TBC")</f>
        <v/>
      </c>
      <c r="N56" s="140" t="str" cm="1">
        <f t="array" ref="N5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6" s="135" t="str">
        <f>Table_2[[#This Row],[A/C]]&amp;Table_2[[#This Row],[Column2]]</f>
        <v>BKKQUO898</v>
      </c>
      <c r="Q5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6" s="166" t="str">
        <f>IFERROR(Table_2[[#This Row],[UTC TIME]]-TIME(1,30,0),"")</f>
        <v/>
      </c>
      <c r="S56" s="167" t="s">
        <v>1123</v>
      </c>
      <c r="T56" s="186" t="s">
        <v>1026</v>
      </c>
      <c r="U56" s="127"/>
      <c r="V56" s="127"/>
      <c r="W56" s="127"/>
      <c r="X56" s="127"/>
      <c r="Y56" s="127"/>
    </row>
    <row r="57" spans="1:26">
      <c r="A57" s="140" t="s">
        <v>190</v>
      </c>
      <c r="B57" s="163">
        <v>46066.496527777781</v>
      </c>
      <c r="C57" s="163"/>
      <c r="D57" s="136" t="s">
        <v>1165</v>
      </c>
      <c r="E57" s="140" t="s">
        <v>75</v>
      </c>
      <c r="F57" s="280" t="s">
        <v>76</v>
      </c>
      <c r="G57" s="280"/>
      <c r="H57" s="144" t="s">
        <v>186</v>
      </c>
      <c r="I57" s="140" t="s">
        <v>176</v>
      </c>
      <c r="J57" s="140" t="s">
        <v>42</v>
      </c>
      <c r="K57" s="135" t="str">
        <f>LEFT(Table_2[[#This Row],[Flt. ID]],2)&amp;RIGHT(Table_2[[#This Row],[Flt. ID]],3)</f>
        <v>UO746</v>
      </c>
      <c r="L57" s="131" t="str">
        <f>"H"&amp;ROW(Table_2[[#This Row],[A/C]])+1&amp;":H300"</f>
        <v>H58:H300</v>
      </c>
      <c r="M57" s="164" t="str">
        <f>IFERROR(
    IF(Table_2[[#This Row],[Arr/ Dep]]="A",
        IF(
            INDEX(B58:B302,MATCH(Table_2[[#This Row],[A/C]],H58:H302,0))
            - IF(Table_2[[#This Row],[ETA/ETD]]="",Table_2[[#This Row],[STA/STD]],Table_2[[#This Row],[ETA/ETD]]) &lt; 0,
            "ASAP",
            IF(Table_2[[#This Row],[ETA/ETD]]="",
                INDEX(B58:B302,MATCH(Table_2[[#This Row],[A/C]],H58:H302,0))-Table_2[[#This Row],[STA/STD]],
                INDEX(B58:B302,MATCH(Table_2[[#This Row],[A/C]],H58:H302,0))-Table_2[[#This Row],[ETA/ETD]])
        ),
        ""
    ),
"TBC")</f>
        <v/>
      </c>
      <c r="N57" s="140" t="str" cm="1">
        <f t="array" ref="N5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7" s="135" t="str">
        <f>Table_2[[#This Row],[A/C]]&amp;Table_2[[#This Row],[Column2]]</f>
        <v>BHSNUO746</v>
      </c>
      <c r="Q5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7" s="166" t="str">
        <f>IFERROR(Table_2[[#This Row],[UTC TIME]]-TIME(1,30,0),"")</f>
        <v/>
      </c>
      <c r="S57" s="167" t="s">
        <v>1123</v>
      </c>
      <c r="T57" s="186" t="s">
        <v>1026</v>
      </c>
      <c r="U57" s="127"/>
      <c r="V57" s="127"/>
      <c r="W57" s="127"/>
      <c r="X57" s="127"/>
      <c r="Y57" s="127"/>
    </row>
    <row r="58" spans="1:26">
      <c r="A58" s="140" t="s">
        <v>192</v>
      </c>
      <c r="B58" s="163">
        <v>46066.5</v>
      </c>
      <c r="C58" s="163">
        <v>46066.474999999999</v>
      </c>
      <c r="D58" s="136" t="s">
        <v>1154</v>
      </c>
      <c r="E58" s="140" t="s">
        <v>111</v>
      </c>
      <c r="F58" s="280" t="s">
        <v>112</v>
      </c>
      <c r="G58" s="280"/>
      <c r="H58" s="144" t="s">
        <v>30</v>
      </c>
      <c r="I58" s="140" t="s">
        <v>173</v>
      </c>
      <c r="J58" s="140" t="s">
        <v>26</v>
      </c>
      <c r="K58" s="135" t="str">
        <f>LEFT(Table_2[[#This Row],[Flt. ID]],2)&amp;RIGHT(Table_2[[#This Row],[Flt. ID]],3)</f>
        <v>UO193</v>
      </c>
      <c r="L58" s="131" t="str">
        <f>"H"&amp;ROW(Table_2[[#This Row],[A/C]])+1&amp;":H300"</f>
        <v>H59:H300</v>
      </c>
      <c r="M58" s="164">
        <f>IFERROR(
    IF(Table_2[[#This Row],[Arr/ Dep]]="A",
        IF(
            INDEX(B59:B303,MATCH(Table_2[[#This Row],[A/C]],H59:H303,0))
            - IF(Table_2[[#This Row],[ETA/ETD]]="",Table_2[[#This Row],[STA/STD]],Table_2[[#This Row],[ETA/ETD]]) &lt; 0,
            "ASAP",
            IF(Table_2[[#This Row],[ETA/ETD]]="",
                INDEX(B59:B303,MATCH(Table_2[[#This Row],[A/C]],H59:H303,0))-Table_2[[#This Row],[STA/STD]],
                INDEX(B59:B303,MATCH(Table_2[[#This Row],[A/C]],H59:H303,0))-Table_2[[#This Row],[ETA/ETD]])
        ),
        ""
    ),
"TBC")</f>
        <v>6.6666666665696539E-2</v>
      </c>
      <c r="N58" s="140" t="str" cm="1">
        <f t="array" ref="N5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8" s="135" t="str">
        <f>Table_2[[#This Row],[A/C]]&amp;Table_2[[#This Row],[Column2]]</f>
        <v>BKKJUO193</v>
      </c>
      <c r="Q5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8" s="166" t="str">
        <f>IFERROR(Table_2[[#This Row],[UTC TIME]]-TIME(1,30,0),"")</f>
        <v/>
      </c>
      <c r="S58" s="167" t="s">
        <v>1121</v>
      </c>
      <c r="T58" s="186" t="s">
        <v>1028</v>
      </c>
      <c r="U58" s="204"/>
      <c r="V58" s="204"/>
      <c r="W58" s="204"/>
      <c r="X58" s="204"/>
      <c r="Y58" s="127"/>
    </row>
    <row r="59" spans="1:26">
      <c r="A59" s="140" t="s">
        <v>193</v>
      </c>
      <c r="B59" s="163">
        <v>46066.510416666664</v>
      </c>
      <c r="C59" s="163"/>
      <c r="D59" s="136" t="s">
        <v>1167</v>
      </c>
      <c r="E59" s="140" t="s">
        <v>182</v>
      </c>
      <c r="F59" s="280" t="s">
        <v>183</v>
      </c>
      <c r="G59" s="280"/>
      <c r="H59" s="144" t="s">
        <v>44</v>
      </c>
      <c r="I59" s="140" t="s">
        <v>78</v>
      </c>
      <c r="J59" s="140" t="s">
        <v>42</v>
      </c>
      <c r="K59" s="135" t="str">
        <f>LEFT(Table_2[[#This Row],[Flt. ID]],2)&amp;RIGHT(Table_2[[#This Row],[Flt. ID]],3)</f>
        <v>UO112</v>
      </c>
      <c r="L59" s="131" t="str">
        <f>"H"&amp;ROW(Table_2[[#This Row],[A/C]])+1&amp;":H300"</f>
        <v>H60:H300</v>
      </c>
      <c r="M59" s="164" t="str">
        <f>IFERROR(
    IF(Table_2[[#This Row],[Arr/ Dep]]="A",
        IF(
            INDEX(B60:B304,MATCH(Table_2[[#This Row],[A/C]],H60:H304,0))
            - IF(Table_2[[#This Row],[ETA/ETD]]="",Table_2[[#This Row],[STA/STD]],Table_2[[#This Row],[ETA/ETD]]) &lt; 0,
            "ASAP",
            IF(Table_2[[#This Row],[ETA/ETD]]="",
                INDEX(B60:B304,MATCH(Table_2[[#This Row],[A/C]],H60:H304,0))-Table_2[[#This Row],[STA/STD]],
                INDEX(B60:B304,MATCH(Table_2[[#This Row],[A/C]],H60:H304,0))-Table_2[[#This Row],[ETA/ETD]])
        ),
        ""
    ),
"TBC")</f>
        <v/>
      </c>
      <c r="N59" s="140" t="str" cm="1">
        <f t="array" ref="N5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5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59" s="135" t="str">
        <f>Table_2[[#This Row],[A/C]]&amp;Table_2[[#This Row],[Column2]]</f>
        <v>BKKPUO112</v>
      </c>
      <c r="Q5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59" s="166" t="str">
        <f>IFERROR(Table_2[[#This Row],[UTC TIME]]-TIME(1,30,0),"")</f>
        <v/>
      </c>
      <c r="S59" s="167" t="s">
        <v>1121</v>
      </c>
      <c r="T59" s="186" t="s">
        <v>1028</v>
      </c>
      <c r="U59" s="204"/>
      <c r="V59" s="204"/>
      <c r="W59" s="204"/>
      <c r="X59" s="204"/>
      <c r="Y59" s="127"/>
    </row>
    <row r="60" spans="1:26">
      <c r="A60" s="140" t="s">
        <v>194</v>
      </c>
      <c r="B60" s="163">
        <v>46066.513888888891</v>
      </c>
      <c r="C60" s="163">
        <v>46066.490972222222</v>
      </c>
      <c r="D60" s="136" t="s">
        <v>1161</v>
      </c>
      <c r="E60" s="140" t="s">
        <v>50</v>
      </c>
      <c r="F60" s="280" t="s">
        <v>51</v>
      </c>
      <c r="G60" s="280"/>
      <c r="H60" s="144" t="s">
        <v>218</v>
      </c>
      <c r="I60" s="140" t="s">
        <v>187</v>
      </c>
      <c r="J60" s="140" t="s">
        <v>26</v>
      </c>
      <c r="K60" s="135" t="str">
        <f>LEFT(Table_2[[#This Row],[Flt. ID]],2)&amp;RIGHT(Table_2[[#This Row],[Flt. ID]],3)</f>
        <v>UO523</v>
      </c>
      <c r="L60" s="131" t="str">
        <f>"H"&amp;ROW(Table_2[[#This Row],[A/C]])+1&amp;":H300"</f>
        <v>H61:H300</v>
      </c>
      <c r="M60" s="164">
        <f>IFERROR(
    IF(Table_2[[#This Row],[Arr/ Dep]]="A",
        IF(
            INDEX(B61:B305,MATCH(Table_2[[#This Row],[A/C]],H61:H305,0))
            - IF(Table_2[[#This Row],[ETA/ETD]]="",Table_2[[#This Row],[STA/STD]],Table_2[[#This Row],[ETA/ETD]]) &lt; 0,
            "ASAP",
            IF(Table_2[[#This Row],[ETA/ETD]]="",
                INDEX(B61:B305,MATCH(Table_2[[#This Row],[A/C]],H61:H305,0))-Table_2[[#This Row],[STA/STD]],
                INDEX(B61:B305,MATCH(Table_2[[#This Row],[A/C]],H61:H305,0))-Table_2[[#This Row],[ETA/ETD]])
        ),
        ""
    ),
"TBC")</f>
        <v>0.10972222222335404</v>
      </c>
      <c r="N60" s="140" t="str" cm="1">
        <f t="array" ref="N6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0" s="135" t="str">
        <f>Table_2[[#This Row],[A/C]]&amp;Table_2[[#This Row],[Column2]]</f>
        <v>BHSLUO523</v>
      </c>
      <c r="Q6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0" s="166" t="str">
        <f>IFERROR(Table_2[[#This Row],[UTC TIME]]-TIME(1,30,0),"")</f>
        <v/>
      </c>
      <c r="S60" s="167" t="s">
        <v>1122</v>
      </c>
      <c r="T60" s="186" t="s">
        <v>1024</v>
      </c>
      <c r="U60" s="127"/>
      <c r="V60" s="127"/>
      <c r="W60" s="127"/>
      <c r="X60" s="127"/>
      <c r="Y60" s="127"/>
    </row>
    <row r="61" spans="1:26">
      <c r="A61" s="140" t="s">
        <v>195</v>
      </c>
      <c r="B61" s="163">
        <v>46066.524305555555</v>
      </c>
      <c r="C61" s="163">
        <v>46066.512499999997</v>
      </c>
      <c r="D61" s="136" t="s">
        <v>1166</v>
      </c>
      <c r="E61" s="140" t="s">
        <v>116</v>
      </c>
      <c r="F61" s="280" t="s">
        <v>117</v>
      </c>
      <c r="G61" s="280"/>
      <c r="H61" s="144" t="s">
        <v>84</v>
      </c>
      <c r="I61" s="140" t="s">
        <v>1156</v>
      </c>
      <c r="J61" s="140" t="s">
        <v>26</v>
      </c>
      <c r="K61" s="135" t="str">
        <f>LEFT(Table_2[[#This Row],[Flt. ID]],2)&amp;RIGHT(Table_2[[#This Row],[Flt. ID]],3)</f>
        <v>UO541</v>
      </c>
      <c r="L61" s="131" t="str">
        <f>"H"&amp;ROW(Table_2[[#This Row],[A/C]])+1&amp;":H300"</f>
        <v>H62:H300</v>
      </c>
      <c r="M61" s="164">
        <f>IFERROR(
    IF(Table_2[[#This Row],[Arr/ Dep]]="A",
        IF(
            INDEX(B62:B306,MATCH(Table_2[[#This Row],[A/C]],H62:H306,0))
            - IF(Table_2[[#This Row],[ETA/ETD]]="",Table_2[[#This Row],[STA/STD]],Table_2[[#This Row],[ETA/ETD]]) &lt; 0,
            "ASAP",
            IF(Table_2[[#This Row],[ETA/ETD]]="",
                INDEX(B62:B306,MATCH(Table_2[[#This Row],[A/C]],H62:H306,0))-Table_2[[#This Row],[STA/STD]],
                INDEX(B62:B306,MATCH(Table_2[[#This Row],[A/C]],H62:H306,0))-Table_2[[#This Row],[ETA/ETD]])
        ),
        ""
    ),
"TBC")</f>
        <v>7.0833333338669036E-2</v>
      </c>
      <c r="N61" s="140" t="str" cm="1">
        <f t="array" ref="N6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1" s="135" t="str">
        <f>Table_2[[#This Row],[A/C]]&amp;Table_2[[#This Row],[Column2]]</f>
        <v>BKKGUO541</v>
      </c>
      <c r="Q6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1" s="166" t="str">
        <f>IFERROR(Table_2[[#This Row],[UTC TIME]]-TIME(1,30,0),"")</f>
        <v/>
      </c>
      <c r="S61" s="167" t="s">
        <v>1123</v>
      </c>
      <c r="T61" s="186" t="s">
        <v>1026</v>
      </c>
      <c r="U61" s="204"/>
      <c r="V61" s="204"/>
      <c r="W61" s="204"/>
      <c r="X61" s="204"/>
      <c r="Y61" s="127"/>
    </row>
    <row r="62" spans="1:26">
      <c r="A62" s="140" t="s">
        <v>196</v>
      </c>
      <c r="B62" s="163">
        <v>46066.527777777781</v>
      </c>
      <c r="C62" s="163">
        <v>46066.506249999999</v>
      </c>
      <c r="D62" s="136" t="s">
        <v>1164</v>
      </c>
      <c r="E62" s="140" t="s">
        <v>28</v>
      </c>
      <c r="F62" s="280" t="s">
        <v>29</v>
      </c>
      <c r="G62" s="280"/>
      <c r="H62" s="144" t="s">
        <v>35</v>
      </c>
      <c r="I62" s="140" t="s">
        <v>90</v>
      </c>
      <c r="J62" s="140" t="s">
        <v>26</v>
      </c>
      <c r="K62" s="135" t="str">
        <f>LEFT(Table_2[[#This Row],[Flt. ID]],2)&amp;RIGHT(Table_2[[#This Row],[Flt. ID]],3)</f>
        <v>UO857</v>
      </c>
      <c r="L62" s="131" t="str">
        <f>"H"&amp;ROW(Table_2[[#This Row],[A/C]])+1&amp;":H300"</f>
        <v>H63:H300</v>
      </c>
      <c r="M62" s="164">
        <f>IFERROR(
    IF(Table_2[[#This Row],[Arr/ Dep]]="A",
        IF(
            INDEX(B63:B307,MATCH(Table_2[[#This Row],[A/C]],H63:H307,0))
            - IF(Table_2[[#This Row],[ETA/ETD]]="",Table_2[[#This Row],[STA/STD]],Table_2[[#This Row],[ETA/ETD]]) &lt; 0,
            "ASAP",
            IF(Table_2[[#This Row],[ETA/ETD]]="",
                INDEX(B63:B307,MATCH(Table_2[[#This Row],[A/C]],H63:H307,0))-Table_2[[#This Row],[STA/STD]],
                INDEX(B63:B307,MATCH(Table_2[[#This Row],[A/C]],H63:H307,0))-Table_2[[#This Row],[ETA/ETD]])
        ),
        ""
    ),
"TBC")</f>
        <v>0.11527777778246673</v>
      </c>
      <c r="N62" s="140" t="str" cm="1">
        <f t="array" ref="N6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2" s="135" t="str">
        <f>Table_2[[#This Row],[A/C]]&amp;Table_2[[#This Row],[Column2]]</f>
        <v>BKKOUO857</v>
      </c>
      <c r="Q6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2" s="166" t="str">
        <f>IFERROR(Table_2[[#This Row],[UTC TIME]]-TIME(1,30,0),"")</f>
        <v/>
      </c>
      <c r="S62" s="167" t="s">
        <v>1021</v>
      </c>
      <c r="T62" s="186" t="s">
        <v>322</v>
      </c>
      <c r="U62" s="127"/>
      <c r="V62" s="127"/>
      <c r="W62" s="127"/>
      <c r="X62" s="127"/>
      <c r="Y62" s="127"/>
    </row>
    <row r="63" spans="1:26" hidden="1">
      <c r="A63" s="140" t="s">
        <v>198</v>
      </c>
      <c r="B63" s="163">
        <v>46066.53125</v>
      </c>
      <c r="C63" s="163"/>
      <c r="D63" s="136" t="s">
        <v>1169</v>
      </c>
      <c r="E63" s="140" t="s">
        <v>133</v>
      </c>
      <c r="F63" s="280" t="s">
        <v>134</v>
      </c>
      <c r="G63" s="280"/>
      <c r="H63" s="144" t="s">
        <v>47</v>
      </c>
      <c r="I63" s="140" t="s">
        <v>36</v>
      </c>
      <c r="J63" s="140" t="s">
        <v>42</v>
      </c>
      <c r="K63" s="135" t="str">
        <f>LEFT(Table_2[[#This Row],[Flt. ID]],2)&amp;RIGHT(Table_2[[#This Row],[Flt. ID]],3)</f>
        <v>UO132</v>
      </c>
      <c r="L63" s="131" t="str">
        <f>"H"&amp;ROW(Table_2[[#This Row],[A/C]])+1&amp;":H300"</f>
        <v>H64:H300</v>
      </c>
      <c r="M63" s="164" t="str">
        <f>IFERROR(
    IF(Table_2[[#This Row],[Arr/ Dep]]="A",
        IF(
            INDEX(B64:B308,MATCH(Table_2[[#This Row],[A/C]],H64:H308,0))
            - IF(Table_2[[#This Row],[ETA/ETD]]="",Table_2[[#This Row],[STA/STD]],Table_2[[#This Row],[ETA/ETD]]) &lt; 0,
            "ASAP",
            IF(Table_2[[#This Row],[ETA/ETD]]="",
                INDEX(B64:B308,MATCH(Table_2[[#This Row],[A/C]],H64:H308,0))-Table_2[[#This Row],[STA/STD]],
                INDEX(B64:B308,MATCH(Table_2[[#This Row],[A/C]],H64:H308,0))-Table_2[[#This Row],[ETA/ETD]])
        ),
        ""
    ),
"TBC")</f>
        <v/>
      </c>
      <c r="N63" s="140" t="str" cm="1">
        <f t="array" ref="N6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3" s="135" t="str">
        <f>Table_2[[#This Row],[A/C]]&amp;Table_2[[#This Row],[Column2]]</f>
        <v>BLEHUO132</v>
      </c>
      <c r="Q6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3" s="166" t="str">
        <f>IFERROR(Table_2[[#This Row],[UTC TIME]]-TIME(1,30,0),"")</f>
        <v/>
      </c>
      <c r="S63" s="167"/>
      <c r="T63" s="186"/>
      <c r="U63" s="127"/>
      <c r="V63" s="127"/>
      <c r="W63" s="127"/>
      <c r="X63" s="127"/>
      <c r="Y63" s="127"/>
    </row>
    <row r="64" spans="1:26" hidden="1">
      <c r="A64" s="140" t="s">
        <v>199</v>
      </c>
      <c r="B64" s="163">
        <v>46066.538194444445</v>
      </c>
      <c r="C64" s="163"/>
      <c r="D64" s="136" t="s">
        <v>1170</v>
      </c>
      <c r="E64" s="140" t="s">
        <v>122</v>
      </c>
      <c r="F64" s="280" t="s">
        <v>123</v>
      </c>
      <c r="G64" s="280"/>
      <c r="H64" s="144" t="s">
        <v>156</v>
      </c>
      <c r="I64" s="140" t="s">
        <v>69</v>
      </c>
      <c r="J64" s="140" t="s">
        <v>42</v>
      </c>
      <c r="K64" s="135" t="str">
        <f>LEFT(Table_2[[#This Row],[Flt. ID]],2)&amp;RIGHT(Table_2[[#This Row],[Flt. ID]],3)</f>
        <v>UO638</v>
      </c>
      <c r="L64" s="131" t="str">
        <f>"H"&amp;ROW(Table_2[[#This Row],[A/C]])+1&amp;":H300"</f>
        <v>H65:H300</v>
      </c>
      <c r="M64" s="164" t="str">
        <f>IFERROR(
    IF(Table_2[[#This Row],[Arr/ Dep]]="A",
        IF(
            INDEX(B65:B309,MATCH(Table_2[[#This Row],[A/C]],H65:H309,0))
            - IF(Table_2[[#This Row],[ETA/ETD]]="",Table_2[[#This Row],[STA/STD]],Table_2[[#This Row],[ETA/ETD]]) &lt; 0,
            "ASAP",
            IF(Table_2[[#This Row],[ETA/ETD]]="",
                INDEX(B65:B309,MATCH(Table_2[[#This Row],[A/C]],H65:H309,0))-Table_2[[#This Row],[STA/STD]],
                INDEX(B65:B309,MATCH(Table_2[[#This Row],[A/C]],H65:H309,0))-Table_2[[#This Row],[ETA/ETD]])
        ),
        ""
    ),
"TBC")</f>
        <v/>
      </c>
      <c r="N64" s="140" t="str" cm="1">
        <f t="array" ref="N6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4" s="135" t="str">
        <f>Table_2[[#This Row],[A/C]]&amp;Table_2[[#This Row],[Column2]]</f>
        <v>BLEDUO638</v>
      </c>
      <c r="Q6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4" s="166" t="str">
        <f>IFERROR(Table_2[[#This Row],[UTC TIME]]-TIME(1,30,0),"")</f>
        <v/>
      </c>
      <c r="S64" s="167"/>
      <c r="T64" s="186"/>
      <c r="U64" s="127"/>
      <c r="V64" s="127"/>
      <c r="W64" s="127"/>
      <c r="X64" s="127"/>
      <c r="Y64" s="127"/>
    </row>
    <row r="65" spans="1:25">
      <c r="A65" s="140" t="s">
        <v>200</v>
      </c>
      <c r="B65" s="163">
        <v>46066.541666666664</v>
      </c>
      <c r="C65" s="163">
        <v>46066.52847222222</v>
      </c>
      <c r="D65" s="136" t="s">
        <v>1167</v>
      </c>
      <c r="E65" s="140" t="s">
        <v>140</v>
      </c>
      <c r="F65" s="280" t="s">
        <v>141</v>
      </c>
      <c r="G65" s="280"/>
      <c r="H65" s="144" t="s">
        <v>161</v>
      </c>
      <c r="I65" s="140" t="s">
        <v>197</v>
      </c>
      <c r="J65" s="140" t="s">
        <v>26</v>
      </c>
      <c r="K65" s="135" t="str">
        <f>LEFT(Table_2[[#This Row],[Flt. ID]],2)&amp;RIGHT(Table_2[[#This Row],[Flt. ID]],3)</f>
        <v>UO553</v>
      </c>
      <c r="L65" s="131" t="str">
        <f>"H"&amp;ROW(Table_2[[#This Row],[A/C]])+1&amp;":H300"</f>
        <v>H66:H300</v>
      </c>
      <c r="M65" s="164">
        <f>IFERROR(
    IF(Table_2[[#This Row],[Arr/ Dep]]="A",
        IF(
            INDEX(B66:B310,MATCH(Table_2[[#This Row],[A/C]],H66:H310,0))
            - IF(Table_2[[#This Row],[ETA/ETD]]="",Table_2[[#This Row],[STA/STD]],Table_2[[#This Row],[ETA/ETD]]) &lt; 0,
            "ASAP",
            IF(Table_2[[#This Row],[ETA/ETD]]="",
                INDEX(B66:B310,MATCH(Table_2[[#This Row],[A/C]],H66:H310,0))-Table_2[[#This Row],[STA/STD]],
                INDEX(B66:B310,MATCH(Table_2[[#This Row],[A/C]],H66:H310,0))-Table_2[[#This Row],[ETA/ETD]])
        ),
        ""
    ),
"TBC")</f>
        <v>8.6111111115314998E-2</v>
      </c>
      <c r="N65" s="140" t="str" cm="1">
        <f t="array" ref="N6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5" s="135" t="str">
        <f>Table_2[[#This Row],[A/C]]&amp;Table_2[[#This Row],[Column2]]</f>
        <v>BLCHUO553</v>
      </c>
      <c r="Q6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5" s="166" t="str">
        <f>IFERROR(Table_2[[#This Row],[UTC TIME]]-TIME(1,30,0),"")</f>
        <v/>
      </c>
      <c r="S65" s="167" t="s">
        <v>1121</v>
      </c>
      <c r="T65" s="186" t="s">
        <v>1028</v>
      </c>
      <c r="U65" s="127"/>
      <c r="V65" s="207"/>
      <c r="W65" s="127"/>
      <c r="X65" s="127"/>
      <c r="Y65" s="127"/>
    </row>
    <row r="66" spans="1:25">
      <c r="A66" s="140" t="s">
        <v>201</v>
      </c>
      <c r="B66" s="163">
        <v>46066.541666666664</v>
      </c>
      <c r="C66" s="163"/>
      <c r="D66" s="136" t="s">
        <v>1171</v>
      </c>
      <c r="E66" s="140" t="s">
        <v>28</v>
      </c>
      <c r="F66" s="280" t="s">
        <v>29</v>
      </c>
      <c r="G66" s="280"/>
      <c r="H66" s="144" t="s">
        <v>30</v>
      </c>
      <c r="I66" s="140" t="s">
        <v>173</v>
      </c>
      <c r="J66" s="140" t="s">
        <v>42</v>
      </c>
      <c r="K66" s="135" t="str">
        <f>LEFT(Table_2[[#This Row],[Flt. ID]],2)&amp;RIGHT(Table_2[[#This Row],[Flt. ID]],3)</f>
        <v>UO646</v>
      </c>
      <c r="L66" s="131" t="str">
        <f>"H"&amp;ROW(Table_2[[#This Row],[A/C]])+1&amp;":H300"</f>
        <v>H67:H300</v>
      </c>
      <c r="M66" s="164" t="str">
        <f>IFERROR(
    IF(Table_2[[#This Row],[Arr/ Dep]]="A",
        IF(
            INDEX(B67:B311,MATCH(Table_2[[#This Row],[A/C]],H67:H311,0))
            - IF(Table_2[[#This Row],[ETA/ETD]]="",Table_2[[#This Row],[STA/STD]],Table_2[[#This Row],[ETA/ETD]]) &lt; 0,
            "ASAP",
            IF(Table_2[[#This Row],[ETA/ETD]]="",
                INDEX(B67:B311,MATCH(Table_2[[#This Row],[A/C]],H67:H311,0))-Table_2[[#This Row],[STA/STD]],
                INDEX(B67:B311,MATCH(Table_2[[#This Row],[A/C]],H67:H311,0))-Table_2[[#This Row],[ETA/ETD]])
        ),
        ""
    ),
"TBC")</f>
        <v/>
      </c>
      <c r="N66" s="140" t="str" cm="1">
        <f t="array" ref="N6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6" s="135" t="str">
        <f>Table_2[[#This Row],[A/C]]&amp;Table_2[[#This Row],[Column2]]</f>
        <v>BKKJUO646</v>
      </c>
      <c r="Q6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6" s="166" t="str">
        <f>IFERROR(Table_2[[#This Row],[UTC TIME]]-TIME(1,30,0),"")</f>
        <v/>
      </c>
      <c r="S66" s="167" t="s">
        <v>1121</v>
      </c>
      <c r="T66" s="186" t="s">
        <v>1028</v>
      </c>
      <c r="U66" s="127"/>
      <c r="V66" s="208"/>
      <c r="W66" s="127"/>
      <c r="X66" s="127"/>
      <c r="Y66" s="127"/>
    </row>
    <row r="67" spans="1:25" hidden="1">
      <c r="A67" s="140" t="s">
        <v>284</v>
      </c>
      <c r="B67" s="163">
        <v>46066.545138888891</v>
      </c>
      <c r="C67" s="163">
        <v>46066.535416666666</v>
      </c>
      <c r="D67" s="136" t="s">
        <v>1168</v>
      </c>
      <c r="E67" s="140" t="s">
        <v>247</v>
      </c>
      <c r="F67" s="280" t="s">
        <v>248</v>
      </c>
      <c r="G67" s="280"/>
      <c r="H67" s="144" t="s">
        <v>130</v>
      </c>
      <c r="I67" s="140" t="s">
        <v>159</v>
      </c>
      <c r="J67" s="140" t="s">
        <v>26</v>
      </c>
      <c r="K67" s="135" t="str">
        <f>LEFT(Table_2[[#This Row],[Flt. ID]],2)&amp;RIGHT(Table_2[[#This Row],[Flt. ID]],3)</f>
        <v>UO251</v>
      </c>
      <c r="L67" s="131" t="str">
        <f>"H"&amp;ROW(Table_2[[#This Row],[A/C]])+1&amp;":H300"</f>
        <v>H68:H300</v>
      </c>
      <c r="M67" s="164">
        <f>IFERROR(
    IF(Table_2[[#This Row],[Arr/ Dep]]="A",
        IF(
            INDEX(B68:B312,MATCH(Table_2[[#This Row],[A/C]],H68:H312,0))
            - IF(Table_2[[#This Row],[ETA/ETD]]="",Table_2[[#This Row],[STA/STD]],Table_2[[#This Row],[ETA/ETD]]) &lt; 0,
            "ASAP",
            IF(Table_2[[#This Row],[ETA/ETD]]="",
                INDEX(B68:B312,MATCH(Table_2[[#This Row],[A/C]],H68:H312,0))-Table_2[[#This Row],[STA/STD]],
                INDEX(B68:B312,MATCH(Table_2[[#This Row],[A/C]],H68:H312,0))-Table_2[[#This Row],[ETA/ETD]])
        ),
        ""
    ),
"TBC")</f>
        <v>9.3055555553291924E-2</v>
      </c>
      <c r="N67" s="140" t="str" cm="1">
        <f t="array" ref="N6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7" s="135" t="str">
        <f>Table_2[[#This Row],[A/C]]&amp;Table_2[[#This Row],[Column2]]</f>
        <v>BHTHUO251</v>
      </c>
      <c r="Q6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7" s="166" t="str">
        <f>IFERROR(Table_2[[#This Row],[UTC TIME]]-TIME(1,30,0),"")</f>
        <v/>
      </c>
      <c r="S67" s="167"/>
      <c r="T67" s="186"/>
      <c r="U67" s="127"/>
      <c r="V67" s="127"/>
      <c r="W67" s="127"/>
      <c r="X67" s="127"/>
      <c r="Y67" s="127"/>
    </row>
    <row r="68" spans="1:25">
      <c r="A68" s="140" t="s">
        <v>205</v>
      </c>
      <c r="B68" s="163">
        <v>46066.5625</v>
      </c>
      <c r="C68" s="163"/>
      <c r="D68" s="136" t="s">
        <v>1173</v>
      </c>
      <c r="E68" s="140" t="s">
        <v>125</v>
      </c>
      <c r="F68" s="280" t="s">
        <v>126</v>
      </c>
      <c r="G68" s="280"/>
      <c r="H68" s="144" t="s">
        <v>180</v>
      </c>
      <c r="I68" s="140" t="s">
        <v>191</v>
      </c>
      <c r="J68" s="140" t="s">
        <v>42</v>
      </c>
      <c r="K68" s="135" t="str">
        <f>LEFT(Table_2[[#This Row],[Flt. ID]],2)&amp;RIGHT(Table_2[[#This Row],[Flt. ID]],3)</f>
        <v>UO700</v>
      </c>
      <c r="L68" s="131" t="str">
        <f>"H"&amp;ROW(Table_2[[#This Row],[A/C]])+1&amp;":H300"</f>
        <v>H69:H300</v>
      </c>
      <c r="M68" s="164" t="str">
        <f>IFERROR(
    IF(Table_2[[#This Row],[Arr/ Dep]]="A",
        IF(
            INDEX(B69:B313,MATCH(Table_2[[#This Row],[A/C]],H69:H313,0))
            - IF(Table_2[[#This Row],[ETA/ETD]]="",Table_2[[#This Row],[STA/STD]],Table_2[[#This Row],[ETA/ETD]]) &lt; 0,
            "ASAP",
            IF(Table_2[[#This Row],[ETA/ETD]]="",
                INDEX(B69:B313,MATCH(Table_2[[#This Row],[A/C]],H69:H313,0))-Table_2[[#This Row],[STA/STD]],
                INDEX(B69:B313,MATCH(Table_2[[#This Row],[A/C]],H69:H313,0))-Table_2[[#This Row],[ETA/ETD]])
        ),
        ""
    ),
"TBC")</f>
        <v/>
      </c>
      <c r="N68" s="140" t="str" cm="1">
        <f t="array" ref="N6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8" s="135" t="str">
        <f>Table_2[[#This Row],[A/C]]&amp;Table_2[[#This Row],[Column2]]</f>
        <v>BLEJUO700</v>
      </c>
      <c r="Q6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8" s="166" t="str">
        <f>IFERROR(Table_2[[#This Row],[UTC TIME]]-TIME(1,30,0),"")</f>
        <v/>
      </c>
      <c r="S68" s="167" t="s">
        <v>484</v>
      </c>
      <c r="T68" s="186" t="s">
        <v>322</v>
      </c>
      <c r="U68" s="127"/>
      <c r="V68" s="205"/>
      <c r="W68" s="205"/>
      <c r="X68" s="127"/>
      <c r="Y68" s="127"/>
    </row>
    <row r="69" spans="1:25">
      <c r="A69" s="140" t="s">
        <v>206</v>
      </c>
      <c r="B69" s="163">
        <v>46066.579861111109</v>
      </c>
      <c r="C69" s="163">
        <v>46066.550694444442</v>
      </c>
      <c r="D69" s="136" t="s">
        <v>1172</v>
      </c>
      <c r="E69" s="140" t="s">
        <v>106</v>
      </c>
      <c r="F69" s="280" t="s">
        <v>107</v>
      </c>
      <c r="G69" s="280"/>
      <c r="H69" s="144" t="s">
        <v>163</v>
      </c>
      <c r="I69" s="140" t="s">
        <v>31</v>
      </c>
      <c r="J69" s="140" t="s">
        <v>26</v>
      </c>
      <c r="K69" s="135" t="str">
        <f>LEFT(Table_2[[#This Row],[Flt. ID]],2)&amp;RIGHT(Table_2[[#This Row],[Flt. ID]],3)</f>
        <v>UO821</v>
      </c>
      <c r="L69" s="131" t="str">
        <f>"H"&amp;ROW(Table_2[[#This Row],[A/C]])+1&amp;":H300"</f>
        <v>H70:H300</v>
      </c>
      <c r="M69" s="164">
        <f>IFERROR(
    IF(Table_2[[#This Row],[Arr/ Dep]]="A",
        IF(
            INDEX(B70:B314,MATCH(Table_2[[#This Row],[A/C]],H70:H314,0))
            - IF(Table_2[[#This Row],[ETA/ETD]]="",Table_2[[#This Row],[STA/STD]],Table_2[[#This Row],[ETA/ETD]]) &lt; 0,
            "ASAP",
            IF(Table_2[[#This Row],[ETA/ETD]]="",
                INDEX(B70:B314,MATCH(Table_2[[#This Row],[A/C]],H70:H314,0))-Table_2[[#This Row],[STA/STD]],
                INDEX(B70:B314,MATCH(Table_2[[#This Row],[A/C]],H70:H314,0))-Table_2[[#This Row],[ETA/ETD]])
        ),
        ""
    ),
"TBC")</f>
        <v>7.0833333338669036E-2</v>
      </c>
      <c r="N69" s="140" t="str" cm="1">
        <f t="array" ref="N6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6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69" s="135" t="str">
        <f>Table_2[[#This Row],[A/C]]&amp;Table_2[[#This Row],[Column2]]</f>
        <v>BKKBUO821</v>
      </c>
      <c r="Q6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69" s="166" t="str">
        <f>IFERROR(Table_2[[#This Row],[UTC TIME]]-TIME(1,30,0),"")</f>
        <v/>
      </c>
      <c r="S69" s="167" t="s">
        <v>1123</v>
      </c>
      <c r="T69" s="186" t="s">
        <v>1026</v>
      </c>
      <c r="U69" s="127"/>
      <c r="V69" s="127"/>
      <c r="W69" s="127"/>
      <c r="X69" s="127"/>
      <c r="Y69" s="127"/>
    </row>
    <row r="70" spans="1:25">
      <c r="A70" s="140" t="s">
        <v>207</v>
      </c>
      <c r="B70" s="163">
        <v>46066.583333333336</v>
      </c>
      <c r="C70" s="163"/>
      <c r="D70" s="136" t="s">
        <v>1175</v>
      </c>
      <c r="E70" s="140" t="s">
        <v>28</v>
      </c>
      <c r="F70" s="280" t="s">
        <v>29</v>
      </c>
      <c r="G70" s="280"/>
      <c r="H70" s="144" t="s">
        <v>84</v>
      </c>
      <c r="I70" s="140" t="s">
        <v>1156</v>
      </c>
      <c r="J70" s="140" t="s">
        <v>42</v>
      </c>
      <c r="K70" s="135" t="str">
        <f>LEFT(Table_2[[#This Row],[Flt. ID]],2)&amp;RIGHT(Table_2[[#This Row],[Flt. ID]],3)</f>
        <v>UO650</v>
      </c>
      <c r="L70" s="131" t="str">
        <f>"H"&amp;ROW(Table_2[[#This Row],[A/C]])+1&amp;":H300"</f>
        <v>H71:H300</v>
      </c>
      <c r="M70" s="164" t="str">
        <f>IFERROR(
    IF(Table_2[[#This Row],[Arr/ Dep]]="A",
        IF(
            INDEX(B71:B315,MATCH(Table_2[[#This Row],[A/C]],H71:H315,0))
            - IF(Table_2[[#This Row],[ETA/ETD]]="",Table_2[[#This Row],[STA/STD]],Table_2[[#This Row],[ETA/ETD]]) &lt; 0,
            "ASAP",
            IF(Table_2[[#This Row],[ETA/ETD]]="",
                INDEX(B71:B315,MATCH(Table_2[[#This Row],[A/C]],H71:H315,0))-Table_2[[#This Row],[STA/STD]],
                INDEX(B71:B315,MATCH(Table_2[[#This Row],[A/C]],H71:H315,0))-Table_2[[#This Row],[ETA/ETD]])
        ),
        ""
    ),
"TBC")</f>
        <v/>
      </c>
      <c r="N70" s="140" t="str" cm="1">
        <f t="array" ref="N7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0" s="135" t="str">
        <f>Table_2[[#This Row],[A/C]]&amp;Table_2[[#This Row],[Column2]]</f>
        <v>BKKGUO650</v>
      </c>
      <c r="Q7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0" s="166" t="str">
        <f>IFERROR(Table_2[[#This Row],[UTC TIME]]-TIME(1,30,0),"")</f>
        <v/>
      </c>
      <c r="S70" s="167" t="s">
        <v>1123</v>
      </c>
      <c r="T70" s="186" t="s">
        <v>1026</v>
      </c>
      <c r="U70" s="127"/>
      <c r="V70" s="127"/>
      <c r="W70" s="127"/>
      <c r="X70" s="127"/>
      <c r="Y70" s="127"/>
    </row>
    <row r="71" spans="1:25" hidden="1">
      <c r="A71" s="140" t="s">
        <v>208</v>
      </c>
      <c r="B71" s="163">
        <v>46066.597222222219</v>
      </c>
      <c r="C71" s="163">
        <v>46066.589583333334</v>
      </c>
      <c r="D71" s="136" t="s">
        <v>1174</v>
      </c>
      <c r="E71" s="140" t="s">
        <v>119</v>
      </c>
      <c r="F71" s="280" t="s">
        <v>120</v>
      </c>
      <c r="G71" s="280"/>
      <c r="H71" s="144" t="s">
        <v>82</v>
      </c>
      <c r="I71" s="140" t="s">
        <v>221</v>
      </c>
      <c r="J71" s="140" t="s">
        <v>26</v>
      </c>
      <c r="K71" s="135" t="str">
        <f>LEFT(Table_2[[#This Row],[Flt. ID]],2)&amp;RIGHT(Table_2[[#This Row],[Flt. ID]],3)</f>
        <v>UO757</v>
      </c>
      <c r="L71" s="131" t="str">
        <f>"H"&amp;ROW(Table_2[[#This Row],[A/C]])+1&amp;":H300"</f>
        <v>H72:H300</v>
      </c>
      <c r="M71" s="164">
        <f>IFERROR(
    IF(Table_2[[#This Row],[Arr/ Dep]]="A",
        IF(
            INDEX(B72:B316,MATCH(Table_2[[#This Row],[A/C]],H72:H316,0))
            - IF(Table_2[[#This Row],[ETA/ETD]]="",Table_2[[#This Row],[STA/STD]],Table_2[[#This Row],[ETA/ETD]]) &lt; 0,
            "ASAP",
            IF(Table_2[[#This Row],[ETA/ETD]]="",
                INDEX(B72:B316,MATCH(Table_2[[#This Row],[A/C]],H72:H316,0))-Table_2[[#This Row],[STA/STD]],
                INDEX(B72:B316,MATCH(Table_2[[#This Row],[A/C]],H72:H316,0))-Table_2[[#This Row],[ETA/ETD]])
        ),
        ""
    ),
"TBC")</f>
        <v>6.6666666665696539E-2</v>
      </c>
      <c r="N71" s="140" t="str" cm="1">
        <f t="array" ref="N7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1" s="135" t="str">
        <f>Table_2[[#This Row],[A/C]]&amp;Table_2[[#This Row],[Column2]]</f>
        <v>BLEGUO757</v>
      </c>
      <c r="Q7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1" s="166" t="str">
        <f>IFERROR(Table_2[[#This Row],[UTC TIME]]-TIME(1,30,0),"")</f>
        <v/>
      </c>
      <c r="S71" s="167"/>
      <c r="T71" s="186"/>
      <c r="U71" s="127"/>
      <c r="V71" s="127"/>
      <c r="W71" s="127"/>
      <c r="X71" s="127"/>
      <c r="Y71" s="127"/>
    </row>
    <row r="72" spans="1:25">
      <c r="A72" s="140" t="s">
        <v>321</v>
      </c>
      <c r="B72" s="163">
        <v>46066.600694444445</v>
      </c>
      <c r="C72" s="163"/>
      <c r="D72" s="136" t="s">
        <v>259</v>
      </c>
      <c r="E72" s="140" t="s">
        <v>125</v>
      </c>
      <c r="F72" s="280" t="s">
        <v>126</v>
      </c>
      <c r="G72" s="280"/>
      <c r="H72" s="144" t="s">
        <v>218</v>
      </c>
      <c r="I72" s="140" t="s">
        <v>187</v>
      </c>
      <c r="J72" s="140" t="s">
        <v>42</v>
      </c>
      <c r="K72" s="135" t="str">
        <f>LEFT(Table_2[[#This Row],[Flt. ID]],2)&amp;RIGHT(Table_2[[#This Row],[Flt. ID]],3)</f>
        <v>UO728</v>
      </c>
      <c r="L72" s="131" t="str">
        <f>"H"&amp;ROW(Table_2[[#This Row],[A/C]])+1&amp;":H300"</f>
        <v>H73:H300</v>
      </c>
      <c r="M72" s="164" t="str">
        <f>IFERROR(
    IF(Table_2[[#This Row],[Arr/ Dep]]="A",
        IF(
            INDEX(B73:B317,MATCH(Table_2[[#This Row],[A/C]],H73:H317,0))
            - IF(Table_2[[#This Row],[ETA/ETD]]="",Table_2[[#This Row],[STA/STD]],Table_2[[#This Row],[ETA/ETD]]) &lt; 0,
            "ASAP",
            IF(Table_2[[#This Row],[ETA/ETD]]="",
                INDEX(B73:B317,MATCH(Table_2[[#This Row],[A/C]],H73:H317,0))-Table_2[[#This Row],[STA/STD]],
                INDEX(B73:B317,MATCH(Table_2[[#This Row],[A/C]],H73:H317,0))-Table_2[[#This Row],[ETA/ETD]])
        ),
        ""
    ),
"TBC")</f>
        <v/>
      </c>
      <c r="N72" s="140" t="str" cm="1">
        <f t="array" ref="N7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2" s="135" t="str">
        <f>Table_2[[#This Row],[A/C]]&amp;Table_2[[#This Row],[Column2]]</f>
        <v>BHSLUO728</v>
      </c>
      <c r="Q7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2" s="166" t="str">
        <f>IFERROR(Table_2[[#This Row],[UTC TIME]]-TIME(1,30,0),"")</f>
        <v/>
      </c>
      <c r="S72" s="167" t="s">
        <v>1122</v>
      </c>
      <c r="T72" s="186" t="s">
        <v>1024</v>
      </c>
      <c r="U72" s="127"/>
      <c r="V72" s="127"/>
      <c r="W72" s="127"/>
      <c r="X72" s="127"/>
      <c r="Y72" s="127"/>
    </row>
    <row r="73" spans="1:25">
      <c r="A73" s="140" t="s">
        <v>210</v>
      </c>
      <c r="B73" s="163">
        <v>46066.611111111109</v>
      </c>
      <c r="C73" s="163">
        <v>46066.694444444445</v>
      </c>
      <c r="D73" s="136" t="s">
        <v>259</v>
      </c>
      <c r="E73" s="140" t="s">
        <v>125</v>
      </c>
      <c r="F73" s="280" t="s">
        <v>126</v>
      </c>
      <c r="G73" s="280"/>
      <c r="H73" s="144" t="s">
        <v>54</v>
      </c>
      <c r="I73" s="140" t="s">
        <v>221</v>
      </c>
      <c r="J73" s="140" t="s">
        <v>26</v>
      </c>
      <c r="K73" s="135" t="str">
        <f>LEFT(Table_2[[#This Row],[Flt. ID]],2)&amp;RIGHT(Table_2[[#This Row],[Flt. ID]],3)</f>
        <v>UO705</v>
      </c>
      <c r="L73" s="131" t="str">
        <f>"H"&amp;ROW(Table_2[[#This Row],[A/C]])+1&amp;":H300"</f>
        <v>H74:H300</v>
      </c>
      <c r="M73" s="164">
        <f>IFERROR(
    IF(Table_2[[#This Row],[Arr/ Dep]]="A",
        IF(
            INDEX(B74:B318,MATCH(Table_2[[#This Row],[A/C]],H74:H318,0))
            - IF(Table_2[[#This Row],[ETA/ETD]]="",Table_2[[#This Row],[STA/STD]],Table_2[[#This Row],[ETA/ETD]]) &lt; 0,
            "ASAP",
            IF(Table_2[[#This Row],[ETA/ETD]]="",
                INDEX(B74:B318,MATCH(Table_2[[#This Row],[A/C]],H74:H318,0))-Table_2[[#This Row],[STA/STD]],
                INDEX(B74:B318,MATCH(Table_2[[#This Row],[A/C]],H74:H318,0))-Table_2[[#This Row],[ETA/ETD]])
        ),
        ""
    ),
"TBC")</f>
        <v>3.4722222189884633E-3</v>
      </c>
      <c r="N73" s="140" t="str" cm="1">
        <f t="array" ref="N7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3" s="135" t="str">
        <f>Table_2[[#This Row],[A/C]]&amp;Table_2[[#This Row],[Column2]]</f>
        <v>BKKEUO705</v>
      </c>
      <c r="Q7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3" s="166" t="str">
        <f>IFERROR(Table_2[[#This Row],[UTC TIME]]-TIME(1,30,0),"")</f>
        <v/>
      </c>
      <c r="S73" s="167" t="s">
        <v>1122</v>
      </c>
      <c r="T73" s="186" t="s">
        <v>1024</v>
      </c>
      <c r="U73" s="127"/>
      <c r="V73" s="127"/>
      <c r="W73" s="127"/>
      <c r="X73" s="127"/>
      <c r="Y73" s="127"/>
    </row>
    <row r="74" spans="1:25">
      <c r="A74" s="140" t="s">
        <v>217</v>
      </c>
      <c r="B74" s="163">
        <v>46066.614583333336</v>
      </c>
      <c r="C74" s="163"/>
      <c r="D74" s="136" t="s">
        <v>1177</v>
      </c>
      <c r="E74" s="140" t="s">
        <v>63</v>
      </c>
      <c r="F74" s="280" t="s">
        <v>64</v>
      </c>
      <c r="G74" s="280"/>
      <c r="H74" s="144" t="s">
        <v>161</v>
      </c>
      <c r="I74" s="140" t="s">
        <v>197</v>
      </c>
      <c r="J74" s="140" t="s">
        <v>42</v>
      </c>
      <c r="K74" s="135" t="str">
        <f>LEFT(Table_2[[#This Row],[Flt. ID]],2)&amp;RIGHT(Table_2[[#This Row],[Flt. ID]],3)</f>
        <v>UO662</v>
      </c>
      <c r="L74" s="131" t="str">
        <f>"H"&amp;ROW(Table_2[[#This Row],[A/C]])+1&amp;":H300"</f>
        <v>H75:H300</v>
      </c>
      <c r="M74" s="164" t="str">
        <f>IFERROR(
    IF(Table_2[[#This Row],[Arr/ Dep]]="A",
        IF(
            INDEX(B75:B319,MATCH(Table_2[[#This Row],[A/C]],H75:H319,0))
            - IF(Table_2[[#This Row],[ETA/ETD]]="",Table_2[[#This Row],[STA/STD]],Table_2[[#This Row],[ETA/ETD]]) &lt; 0,
            "ASAP",
            IF(Table_2[[#This Row],[ETA/ETD]]="",
                INDEX(B75:B319,MATCH(Table_2[[#This Row],[A/C]],H75:H319,0))-Table_2[[#This Row],[STA/STD]],
                INDEX(B75:B319,MATCH(Table_2[[#This Row],[A/C]],H75:H319,0))-Table_2[[#This Row],[ETA/ETD]])
        ),
        ""
    ),
"TBC")</f>
        <v/>
      </c>
      <c r="N74" s="140" t="str" cm="1">
        <f t="array" ref="N7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4" s="135" t="str">
        <f>Table_2[[#This Row],[A/C]]&amp;Table_2[[#This Row],[Column2]]</f>
        <v>BLCHUO662</v>
      </c>
      <c r="Q7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4" s="166" t="str">
        <f>IFERROR(Table_2[[#This Row],[UTC TIME]]-TIME(1,30,0),"")</f>
        <v/>
      </c>
      <c r="S74" s="167" t="s">
        <v>1121</v>
      </c>
      <c r="T74" s="186" t="s">
        <v>1028</v>
      </c>
      <c r="U74" s="204"/>
      <c r="V74" s="204"/>
      <c r="W74" s="204"/>
      <c r="X74" s="204"/>
      <c r="Y74" s="127"/>
    </row>
    <row r="75" spans="1:25">
      <c r="A75" s="140" t="s">
        <v>211</v>
      </c>
      <c r="B75" s="163">
        <v>46066.621527777781</v>
      </c>
      <c r="C75" s="163"/>
      <c r="D75" s="136" t="s">
        <v>1180</v>
      </c>
      <c r="E75" s="140" t="s">
        <v>28</v>
      </c>
      <c r="F75" s="280" t="s">
        <v>29</v>
      </c>
      <c r="G75" s="280"/>
      <c r="H75" s="144" t="s">
        <v>35</v>
      </c>
      <c r="I75" s="140" t="s">
        <v>90</v>
      </c>
      <c r="J75" s="140" t="s">
        <v>42</v>
      </c>
      <c r="K75" s="135" t="str">
        <f>LEFT(Table_2[[#This Row],[Flt. ID]],2)&amp;RIGHT(Table_2[[#This Row],[Flt. ID]],3)</f>
        <v>UO652</v>
      </c>
      <c r="L75" s="131" t="str">
        <f>"H"&amp;ROW(Table_2[[#This Row],[A/C]])+1&amp;":H300"</f>
        <v>H76:H300</v>
      </c>
      <c r="M75" s="164" t="str">
        <f>IFERROR(
    IF(Table_2[[#This Row],[Arr/ Dep]]="A",
        IF(
            INDEX(B76:B320,MATCH(Table_2[[#This Row],[A/C]],H76:H320,0))
            - IF(Table_2[[#This Row],[ETA/ETD]]="",Table_2[[#This Row],[STA/STD]],Table_2[[#This Row],[ETA/ETD]]) &lt; 0,
            "ASAP",
            IF(Table_2[[#This Row],[ETA/ETD]]="",
                INDEX(B76:B320,MATCH(Table_2[[#This Row],[A/C]],H76:H320,0))-Table_2[[#This Row],[STA/STD]],
                INDEX(B76:B320,MATCH(Table_2[[#This Row],[A/C]],H76:H320,0))-Table_2[[#This Row],[ETA/ETD]])
        ),
        ""
    ),
"TBC")</f>
        <v/>
      </c>
      <c r="N75" s="140" t="str" cm="1">
        <f t="array" ref="N7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5" s="135" t="str">
        <f>Table_2[[#This Row],[A/C]]&amp;Table_2[[#This Row],[Column2]]</f>
        <v>BKKOUO652</v>
      </c>
      <c r="Q7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5" s="166" t="str">
        <f>IFERROR(Table_2[[#This Row],[UTC TIME]]-TIME(1,30,0),"")</f>
        <v/>
      </c>
      <c r="S75" s="167" t="s">
        <v>1021</v>
      </c>
      <c r="T75" s="186" t="s">
        <v>322</v>
      </c>
      <c r="U75" s="127"/>
      <c r="V75" s="209"/>
      <c r="W75" s="127"/>
      <c r="X75" s="127"/>
      <c r="Y75" s="127"/>
    </row>
    <row r="76" spans="1:25">
      <c r="A76" s="140" t="s">
        <v>212</v>
      </c>
      <c r="B76" s="163">
        <v>46066.621527777781</v>
      </c>
      <c r="C76" s="163"/>
      <c r="D76" s="136" t="s">
        <v>1183</v>
      </c>
      <c r="E76" s="140" t="s">
        <v>22</v>
      </c>
      <c r="F76" s="280" t="s">
        <v>23</v>
      </c>
      <c r="G76" s="280"/>
      <c r="H76" s="144" t="s">
        <v>163</v>
      </c>
      <c r="I76" s="140" t="s">
        <v>31</v>
      </c>
      <c r="J76" s="140" t="s">
        <v>42</v>
      </c>
      <c r="K76" s="135" t="str">
        <f>LEFT(Table_2[[#This Row],[Flt. ID]],2)&amp;RIGHT(Table_2[[#This Row],[Flt. ID]],3)</f>
        <v>UO688</v>
      </c>
      <c r="L76" s="131" t="str">
        <f>"H"&amp;ROW(Table_2[[#This Row],[A/C]])+1&amp;":H300"</f>
        <v>H77:H300</v>
      </c>
      <c r="M76" s="164" t="str">
        <f>IFERROR(
    IF(Table_2[[#This Row],[Arr/ Dep]]="A",
        IF(
            INDEX(B77:B321,MATCH(Table_2[[#This Row],[A/C]],H77:H321,0))
            - IF(Table_2[[#This Row],[ETA/ETD]]="",Table_2[[#This Row],[STA/STD]],Table_2[[#This Row],[ETA/ETD]]) &lt; 0,
            "ASAP",
            IF(Table_2[[#This Row],[ETA/ETD]]="",
                INDEX(B77:B321,MATCH(Table_2[[#This Row],[A/C]],H77:H321,0))-Table_2[[#This Row],[STA/STD]],
                INDEX(B77:B321,MATCH(Table_2[[#This Row],[A/C]],H77:H321,0))-Table_2[[#This Row],[ETA/ETD]])
        ),
        ""
    ),
"TBC")</f>
        <v/>
      </c>
      <c r="N76" s="140" t="str" cm="1">
        <f t="array" ref="N7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6" s="152" t="str">
        <f>Table_2[[#This Row],[A/C]]&amp;Table_2[[#This Row],[Column2]]</f>
        <v>BKKBUO688</v>
      </c>
      <c r="Q7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6" s="166" t="str">
        <f>IFERROR(Table_2[[#This Row],[UTC TIME]]-TIME(1,30,0),"")</f>
        <v/>
      </c>
      <c r="S76" s="167" t="s">
        <v>1123</v>
      </c>
      <c r="T76" s="186" t="s">
        <v>1026</v>
      </c>
      <c r="U76" s="127"/>
      <c r="V76" s="127"/>
      <c r="W76" s="127"/>
      <c r="X76" s="127"/>
      <c r="Y76" s="127"/>
    </row>
    <row r="77" spans="1:25">
      <c r="A77" s="140" t="s">
        <v>213</v>
      </c>
      <c r="B77" s="163">
        <v>46066.625</v>
      </c>
      <c r="C77" s="163">
        <v>46066.631944444445</v>
      </c>
      <c r="D77" s="136" t="s">
        <v>1184</v>
      </c>
      <c r="E77" s="140" t="s">
        <v>111</v>
      </c>
      <c r="F77" s="280" t="s">
        <v>112</v>
      </c>
      <c r="G77" s="280"/>
      <c r="H77" s="144" t="s">
        <v>58</v>
      </c>
      <c r="I77" s="140" t="s">
        <v>187</v>
      </c>
      <c r="J77" s="140" t="s">
        <v>26</v>
      </c>
      <c r="K77" s="135" t="str">
        <f>LEFT(Table_2[[#This Row],[Flt. ID]],2)&amp;RIGHT(Table_2[[#This Row],[Flt. ID]],3)</f>
        <v>UO173</v>
      </c>
      <c r="L77" s="131" t="str">
        <f>"H"&amp;ROW(Table_2[[#This Row],[A/C]])+1&amp;":H300"</f>
        <v>H78:H300</v>
      </c>
      <c r="M77" s="164">
        <f>IFERROR(
    IF(Table_2[[#This Row],[Arr/ Dep]]="A",
        IF(
            INDEX(B78:B322,MATCH(Table_2[[#This Row],[A/C]],H78:H322,0))
            - IF(Table_2[[#This Row],[ETA/ETD]]="",Table_2[[#This Row],[STA/STD]],Table_2[[#This Row],[ETA/ETD]]) &lt; 0,
            "ASAP",
            IF(Table_2[[#This Row],[ETA/ETD]]="",
                INDEX(B78:B322,MATCH(Table_2[[#This Row],[A/C]],H78:H322,0))-Table_2[[#This Row],[STA/STD]],
                INDEX(B78:B322,MATCH(Table_2[[#This Row],[A/C]],H78:H322,0))-Table_2[[#This Row],[ETA/ETD]])
        ),
        ""
    ),
"TBC")</f>
        <v>4.8611111109494232E-2</v>
      </c>
      <c r="N77" s="140" t="str" cm="1">
        <f t="array" ref="N7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7" s="135" t="str">
        <f>Table_2[[#This Row],[A/C]]&amp;Table_2[[#This Row],[Column2]]</f>
        <v>BHSMUO173</v>
      </c>
      <c r="Q7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7" s="166" t="str">
        <f>IFERROR(Table_2[[#This Row],[UTC TIME]]-TIME(1,30,0),"")</f>
        <v/>
      </c>
      <c r="S77" s="167" t="s">
        <v>1121</v>
      </c>
      <c r="T77" s="186" t="s">
        <v>1028</v>
      </c>
      <c r="U77" s="127"/>
      <c r="V77" s="127"/>
      <c r="W77" s="127"/>
      <c r="X77" s="127"/>
      <c r="Y77" s="127"/>
    </row>
    <row r="78" spans="1:25" hidden="1">
      <c r="A78" s="140" t="s">
        <v>214</v>
      </c>
      <c r="B78" s="163">
        <v>46066.625</v>
      </c>
      <c r="C78" s="163">
        <v>46066.611805555556</v>
      </c>
      <c r="D78" s="136" t="s">
        <v>1176</v>
      </c>
      <c r="E78" s="140" t="s">
        <v>128</v>
      </c>
      <c r="F78" s="280" t="s">
        <v>129</v>
      </c>
      <c r="G78" s="280"/>
      <c r="H78" s="144" t="s">
        <v>97</v>
      </c>
      <c r="I78" s="140" t="s">
        <v>173</v>
      </c>
      <c r="J78" s="140" t="s">
        <v>26</v>
      </c>
      <c r="K78" s="135" t="str">
        <f>LEFT(Table_2[[#This Row],[Flt. ID]],2)&amp;RIGHT(Table_2[[#This Row],[Flt. ID]],3)</f>
        <v>UO599</v>
      </c>
      <c r="L78" s="131" t="str">
        <f>"H"&amp;ROW(Table_2[[#This Row],[A/C]])+1&amp;":H300"</f>
        <v>H79:H300</v>
      </c>
      <c r="M78" s="164">
        <f>IFERROR(
    IF(Table_2[[#This Row],[Arr/ Dep]]="A",
        IF(
            INDEX(B79:B323,MATCH(Table_2[[#This Row],[A/C]],H79:H323,0))
            - IF(Table_2[[#This Row],[ETA/ETD]]="",Table_2[[#This Row],[STA/STD]],Table_2[[#This Row],[ETA/ETD]]) &lt; 0,
            "ASAP",
            IF(Table_2[[#This Row],[ETA/ETD]]="",
                INDEX(B79:B323,MATCH(Table_2[[#This Row],[A/C]],H79:H323,0))-Table_2[[#This Row],[STA/STD]],
                INDEX(B79:B323,MATCH(Table_2[[#This Row],[A/C]],H79:H323,0))-Table_2[[#This Row],[ETA/ETD]])
        ),
        ""
    ),
"TBC")</f>
        <v>4.7916666662786156E-2</v>
      </c>
      <c r="N78" s="140" t="str" cm="1">
        <f t="array" ref="N7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8" s="135" t="str">
        <f>Table_2[[#This Row],[A/C]]&amp;Table_2[[#This Row],[Column2]]</f>
        <v>BLEEUO599</v>
      </c>
      <c r="Q7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8" s="166" t="str">
        <f>IFERROR(Table_2[[#This Row],[UTC TIME]]-TIME(1,30,0),"")</f>
        <v/>
      </c>
      <c r="S78" s="167"/>
      <c r="T78" s="186"/>
      <c r="U78" s="204"/>
      <c r="V78" s="204"/>
      <c r="W78" s="204"/>
      <c r="X78" s="204"/>
      <c r="Y78" s="127"/>
    </row>
    <row r="79" spans="1:25" hidden="1">
      <c r="A79" s="140" t="s">
        <v>215</v>
      </c>
      <c r="B79" s="163">
        <v>46066.628472222219</v>
      </c>
      <c r="C79" s="163"/>
      <c r="D79" s="136" t="s">
        <v>1185</v>
      </c>
      <c r="E79" s="140" t="s">
        <v>182</v>
      </c>
      <c r="F79" s="280" t="s">
        <v>183</v>
      </c>
      <c r="G79" s="280"/>
      <c r="H79" s="144" t="s">
        <v>130</v>
      </c>
      <c r="I79" s="140" t="s">
        <v>159</v>
      </c>
      <c r="J79" s="140" t="s">
        <v>42</v>
      </c>
      <c r="K79" s="135" t="str">
        <f>LEFT(Table_2[[#This Row],[Flt. ID]],2)&amp;RIGHT(Table_2[[#This Row],[Flt. ID]],3)</f>
        <v>UO114</v>
      </c>
      <c r="L79" s="131" t="str">
        <f>"H"&amp;ROW(Table_2[[#This Row],[A/C]])+1&amp;":H300"</f>
        <v>H80:H300</v>
      </c>
      <c r="M79" s="164" t="str">
        <f>IFERROR(
    IF(Table_2[[#This Row],[Arr/ Dep]]="A",
        IF(
            INDEX(B80:B324,MATCH(Table_2[[#This Row],[A/C]],H80:H324,0))
            - IF(Table_2[[#This Row],[ETA/ETD]]="",Table_2[[#This Row],[STA/STD]],Table_2[[#This Row],[ETA/ETD]]) &lt; 0,
            "ASAP",
            IF(Table_2[[#This Row],[ETA/ETD]]="",
                INDEX(B80:B324,MATCH(Table_2[[#This Row],[A/C]],H80:H324,0))-Table_2[[#This Row],[STA/STD]],
                INDEX(B80:B324,MATCH(Table_2[[#This Row],[A/C]],H80:H324,0))-Table_2[[#This Row],[ETA/ETD]])
        ),
        ""
    ),
"TBC")</f>
        <v/>
      </c>
      <c r="N79" s="140" t="str" cm="1">
        <f t="array" ref="N7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7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79" s="135" t="str">
        <f>Table_2[[#This Row],[A/C]]&amp;Table_2[[#This Row],[Column2]]</f>
        <v>BHTHUO114</v>
      </c>
      <c r="Q7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79" s="166" t="str">
        <f>IFERROR(Table_2[[#This Row],[UTC TIME]]-TIME(1,30,0),"")</f>
        <v/>
      </c>
      <c r="S79" s="167"/>
      <c r="T79" s="186"/>
      <c r="U79" s="127"/>
      <c r="V79" s="127"/>
      <c r="W79" s="127"/>
      <c r="X79" s="127"/>
      <c r="Y79" s="127"/>
    </row>
    <row r="80" spans="1:25" hidden="1">
      <c r="A80" s="140" t="s">
        <v>216</v>
      </c>
      <c r="B80" s="163">
        <v>46066.638888888891</v>
      </c>
      <c r="C80" s="163">
        <v>46066.630555555559</v>
      </c>
      <c r="D80" s="136" t="s">
        <v>1182</v>
      </c>
      <c r="E80" s="140" t="s">
        <v>140</v>
      </c>
      <c r="F80" s="280" t="s">
        <v>141</v>
      </c>
      <c r="G80" s="280"/>
      <c r="H80" s="144" t="s">
        <v>175</v>
      </c>
      <c r="I80" s="140" t="s">
        <v>41</v>
      </c>
      <c r="J80" s="140" t="s">
        <v>26</v>
      </c>
      <c r="K80" s="135" t="str">
        <f>LEFT(Table_2[[#This Row],[Flt. ID]],2)&amp;RIGHT(Table_2[[#This Row],[Flt. ID]],3)</f>
        <v>UO563</v>
      </c>
      <c r="L80" s="131" t="str">
        <f>"H"&amp;ROW(Table_2[[#This Row],[A/C]])+1&amp;":H300"</f>
        <v>H81:H300</v>
      </c>
      <c r="M80" s="164">
        <f>IFERROR(
    IF(Table_2[[#This Row],[Arr/ Dep]]="A",
        IF(
            INDEX(B81:B325,MATCH(Table_2[[#This Row],[A/C]],H81:H325,0))
            - IF(Table_2[[#This Row],[ETA/ETD]]="",Table_2[[#This Row],[STA/STD]],Table_2[[#This Row],[ETA/ETD]]) &lt; 0,
            "ASAP",
            IF(Table_2[[#This Row],[ETA/ETD]]="",
                INDEX(B81:B325,MATCH(Table_2[[#This Row],[A/C]],H81:H325,0))-Table_2[[#This Row],[STA/STD]],
                INDEX(B81:B325,MATCH(Table_2[[#This Row],[A/C]],H81:H325,0))-Table_2[[#This Row],[ETA/ETD]])
        ),
        ""
    ),
"TBC")</f>
        <v>4.3055555550381541E-2</v>
      </c>
      <c r="N80" s="140" t="str" cm="1">
        <f t="array" ref="N8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0" s="135" t="str">
        <f>Table_2[[#This Row],[A/C]]&amp;Table_2[[#This Row],[Column2]]</f>
        <v>BHTIUO563</v>
      </c>
      <c r="Q8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0" s="166" t="str">
        <f>IFERROR(Table_2[[#This Row],[UTC TIME]]-TIME(1,30,0),"")</f>
        <v/>
      </c>
      <c r="S80" s="167"/>
      <c r="T80" s="186"/>
      <c r="U80" s="127"/>
      <c r="V80" s="127"/>
      <c r="W80" s="127"/>
      <c r="X80" s="127"/>
      <c r="Y80" s="127"/>
    </row>
    <row r="81" spans="1:25">
      <c r="A81" s="140" t="s">
        <v>219</v>
      </c>
      <c r="B81" s="163">
        <v>46066.645833333336</v>
      </c>
      <c r="C81" s="163">
        <v>46066.65347222222</v>
      </c>
      <c r="D81" s="136" t="s">
        <v>259</v>
      </c>
      <c r="E81" s="140" t="s">
        <v>103</v>
      </c>
      <c r="F81" s="280" t="s">
        <v>104</v>
      </c>
      <c r="G81" s="280"/>
      <c r="H81" s="144" t="s">
        <v>24</v>
      </c>
      <c r="I81" s="140" t="s">
        <v>90</v>
      </c>
      <c r="J81" s="140" t="s">
        <v>26</v>
      </c>
      <c r="K81" s="135" t="str">
        <f>LEFT(Table_2[[#This Row],[Flt. ID]],2)&amp;RIGHT(Table_2[[#This Row],[Flt. ID]],3)</f>
        <v>UO725</v>
      </c>
      <c r="L81" s="131" t="str">
        <f>"H"&amp;ROW(Table_2[[#This Row],[A/C]])+1&amp;":H300"</f>
        <v>H82:H300</v>
      </c>
      <c r="M81" s="164">
        <f>IFERROR(
    IF(Table_2[[#This Row],[Arr/ Dep]]="A",
        IF(
            INDEX(B82:B326,MATCH(Table_2[[#This Row],[A/C]],H82:H326,0))
            - IF(Table_2[[#This Row],[ETA/ETD]]="",Table_2[[#This Row],[STA/STD]],Table_2[[#This Row],[ETA/ETD]]) &lt; 0,
            "ASAP",
            IF(Table_2[[#This Row],[ETA/ETD]]="",
                INDEX(B82:B326,MATCH(Table_2[[#This Row],[A/C]],H82:H326,0))-Table_2[[#This Row],[STA/STD]],
                INDEX(B82:B326,MATCH(Table_2[[#This Row],[A/C]],H82:H326,0))-Table_2[[#This Row],[ETA/ETD]])
        ),
        ""
    ),
"TBC")</f>
        <v>5.1388888889050577E-2</v>
      </c>
      <c r="N81" s="140" t="str" cm="1">
        <f t="array" ref="N8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1" s="135" t="str">
        <f>Table_2[[#This Row],[A/C]]&amp;Table_2[[#This Row],[Column2]]</f>
        <v>BLCSUO725</v>
      </c>
      <c r="Q8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1" s="166" t="str">
        <f>IFERROR(Table_2[[#This Row],[UTC TIME]]-TIME(1,30,0),"")</f>
        <v/>
      </c>
      <c r="S81" s="167" t="s">
        <v>1123</v>
      </c>
      <c r="T81" s="186" t="s">
        <v>1026</v>
      </c>
      <c r="U81" s="127"/>
      <c r="V81" s="127"/>
      <c r="W81" s="127"/>
      <c r="X81" s="127" t="s">
        <v>224</v>
      </c>
      <c r="Y81" s="127"/>
    </row>
    <row r="82" spans="1:25" s="124" customFormat="1">
      <c r="A82" s="140" t="s">
        <v>220</v>
      </c>
      <c r="B82" s="163">
        <v>46066.649305555555</v>
      </c>
      <c r="C82" s="163">
        <v>46066.627083333333</v>
      </c>
      <c r="D82" s="136" t="s">
        <v>1181</v>
      </c>
      <c r="E82" s="140" t="s">
        <v>38</v>
      </c>
      <c r="F82" s="280" t="s">
        <v>39</v>
      </c>
      <c r="G82" s="280"/>
      <c r="H82" s="144" t="s">
        <v>73</v>
      </c>
      <c r="I82" s="140" t="s">
        <v>176</v>
      </c>
      <c r="J82" s="140" t="s">
        <v>26</v>
      </c>
      <c r="K82" s="135" t="str">
        <f>LEFT(Table_2[[#This Row],[Flt. ID]],2)&amp;RIGHT(Table_2[[#This Row],[Flt. ID]],3)</f>
        <v>UO619</v>
      </c>
      <c r="L82" s="131" t="str">
        <f>"H"&amp;ROW(Table_2[[#This Row],[A/C]])+1&amp;":H300"</f>
        <v>H83:H300</v>
      </c>
      <c r="M82" s="164">
        <f>IFERROR(
    IF(Table_2[[#This Row],[Arr/ Dep]]="A",
        IF(
            INDEX(B83:B327,MATCH(Table_2[[#This Row],[A/C]],H83:H327,0))
            - IF(Table_2[[#This Row],[ETA/ETD]]="",Table_2[[#This Row],[STA/STD]],Table_2[[#This Row],[ETA/ETD]]) &lt; 0,
            "ASAP",
            IF(Table_2[[#This Row],[ETA/ETD]]="",
                INDEX(B83:B327,MATCH(Table_2[[#This Row],[A/C]],H83:H327,0))-Table_2[[#This Row],[STA/STD]],
                INDEX(B83:B327,MATCH(Table_2[[#This Row],[A/C]],H83:H327,0))-Table_2[[#This Row],[ETA/ETD]])
        ),
        ""
    ),
"TBC")</f>
        <v>2.2222222221898846E-2</v>
      </c>
      <c r="N82" s="140" t="str" cm="1">
        <f t="array" ref="N8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2" s="135" t="str">
        <f>Table_2[[#This Row],[A/C]]&amp;Table_2[[#This Row],[Column2]]</f>
        <v>BKKLUO619</v>
      </c>
      <c r="Q8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2" s="166" t="str">
        <f>IFERROR(Table_2[[#This Row],[UTC TIME]]-TIME(1,30,0),"")</f>
        <v/>
      </c>
      <c r="S82" s="167" t="s">
        <v>1122</v>
      </c>
      <c r="T82" s="186" t="s">
        <v>1024</v>
      </c>
      <c r="U82" s="127"/>
      <c r="V82" s="127"/>
      <c r="W82" s="127"/>
      <c r="X82" s="127"/>
      <c r="Y82" s="281"/>
    </row>
    <row r="83" spans="1:25">
      <c r="A83" s="140" t="s">
        <v>222</v>
      </c>
      <c r="B83" s="163">
        <v>46066.649305555555</v>
      </c>
      <c r="C83" s="163">
        <v>46066.673611111109</v>
      </c>
      <c r="D83" s="136" t="s">
        <v>259</v>
      </c>
      <c r="E83" s="140" t="s">
        <v>33</v>
      </c>
      <c r="F83" s="280" t="s">
        <v>34</v>
      </c>
      <c r="G83" s="280"/>
      <c r="H83" s="144" t="s">
        <v>73</v>
      </c>
      <c r="I83" s="140" t="s">
        <v>176</v>
      </c>
      <c r="J83" s="140" t="s">
        <v>42</v>
      </c>
      <c r="K83" s="135" t="str">
        <f>LEFT(Table_2[[#This Row],[Flt. ID]],2)&amp;RIGHT(Table_2[[#This Row],[Flt. ID]],3)</f>
        <v>UO684</v>
      </c>
      <c r="L83" s="131" t="str">
        <f>"H"&amp;ROW(Table_2[[#This Row],[A/C]])+1&amp;":H300"</f>
        <v>H84:H300</v>
      </c>
      <c r="M83" s="164" t="str">
        <f>IFERROR(
    IF(Table_2[[#This Row],[Arr/ Dep]]="A",
        IF(
            INDEX(B84:B328,MATCH(Table_2[[#This Row],[A/C]],H84:H328,0))
            - IF(Table_2[[#This Row],[ETA/ETD]]="",Table_2[[#This Row],[STA/STD]],Table_2[[#This Row],[ETA/ETD]]) &lt; 0,
            "ASAP",
            IF(Table_2[[#This Row],[ETA/ETD]]="",
                INDEX(B84:B328,MATCH(Table_2[[#This Row],[A/C]],H84:H328,0))-Table_2[[#This Row],[STA/STD]],
                INDEX(B84:B328,MATCH(Table_2[[#This Row],[A/C]],H84:H328,0))-Table_2[[#This Row],[ETA/ETD]])
        ),
        ""
    ),
"TBC")</f>
        <v/>
      </c>
      <c r="N83" s="140" t="str" cm="1">
        <f t="array" ref="N8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3" s="135" t="str">
        <f>Table_2[[#This Row],[A/C]]&amp;Table_2[[#This Row],[Column2]]</f>
        <v>BKKLUO684</v>
      </c>
      <c r="Q8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3" s="166" t="str">
        <f>IFERROR(Table_2[[#This Row],[UTC TIME]]-TIME(1,30,0),"")</f>
        <v/>
      </c>
      <c r="S83" s="167" t="s">
        <v>1122</v>
      </c>
      <c r="T83" s="186" t="s">
        <v>1024</v>
      </c>
      <c r="U83" s="127"/>
      <c r="V83" s="127"/>
      <c r="W83" s="127"/>
      <c r="X83" s="127"/>
      <c r="Y83" s="127"/>
    </row>
    <row r="84" spans="1:25" hidden="1">
      <c r="A84" s="140" t="s">
        <v>223</v>
      </c>
      <c r="B84" s="163">
        <v>46066.65625</v>
      </c>
      <c r="C84" s="163"/>
      <c r="D84" s="136" t="s">
        <v>259</v>
      </c>
      <c r="E84" s="140" t="s">
        <v>22</v>
      </c>
      <c r="F84" s="280" t="s">
        <v>23</v>
      </c>
      <c r="G84" s="280"/>
      <c r="H84" s="144" t="s">
        <v>82</v>
      </c>
      <c r="I84" s="140" t="s">
        <v>221</v>
      </c>
      <c r="J84" s="140" t="s">
        <v>42</v>
      </c>
      <c r="K84" s="135" t="str">
        <f>LEFT(Table_2[[#This Row],[Flt. ID]],2)&amp;RIGHT(Table_2[[#This Row],[Flt. ID]],3)</f>
        <v>UO862</v>
      </c>
      <c r="L84" s="131" t="str">
        <f>"H"&amp;ROW(Table_2[[#This Row],[A/C]])+1&amp;":H300"</f>
        <v>H85:H300</v>
      </c>
      <c r="M84" s="164" t="str">
        <f>IFERROR(
    IF(Table_2[[#This Row],[Arr/ Dep]]="A",
        IF(
            INDEX(B85:B329,MATCH(Table_2[[#This Row],[A/C]],H85:H329,0))
            - IF(Table_2[[#This Row],[ETA/ETD]]="",Table_2[[#This Row],[STA/STD]],Table_2[[#This Row],[ETA/ETD]]) &lt; 0,
            "ASAP",
            IF(Table_2[[#This Row],[ETA/ETD]]="",
                INDEX(B85:B329,MATCH(Table_2[[#This Row],[A/C]],H85:H329,0))-Table_2[[#This Row],[STA/STD]],
                INDEX(B85:B329,MATCH(Table_2[[#This Row],[A/C]],H85:H329,0))-Table_2[[#This Row],[ETA/ETD]])
        ),
        ""
    ),
"TBC")</f>
        <v/>
      </c>
      <c r="N84" s="140" t="str" cm="1">
        <f t="array" ref="N8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4" s="135" t="str">
        <f>Table_2[[#This Row],[A/C]]&amp;Table_2[[#This Row],[Column2]]</f>
        <v>BLEGUO862</v>
      </c>
      <c r="Q8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4" s="166" t="str">
        <f>IFERROR(Table_2[[#This Row],[UTC TIME]]-TIME(1,30,0),"")</f>
        <v/>
      </c>
      <c r="S84" s="167"/>
      <c r="T84" s="186"/>
      <c r="U84" s="127"/>
      <c r="V84" s="127"/>
      <c r="W84" s="127"/>
      <c r="X84" s="127"/>
      <c r="Y84" s="127"/>
    </row>
    <row r="85" spans="1:25">
      <c r="A85" s="140" t="s">
        <v>225</v>
      </c>
      <c r="B85" s="163">
        <v>46066.659722222219</v>
      </c>
      <c r="C85" s="163">
        <v>46066.644444444442</v>
      </c>
      <c r="D85" s="136" t="s">
        <v>259</v>
      </c>
      <c r="E85" s="140" t="s">
        <v>122</v>
      </c>
      <c r="F85" s="280" t="s">
        <v>123</v>
      </c>
      <c r="G85" s="280"/>
      <c r="H85" s="144" t="s">
        <v>92</v>
      </c>
      <c r="I85" s="140" t="s">
        <v>209</v>
      </c>
      <c r="J85" s="140" t="s">
        <v>26</v>
      </c>
      <c r="K85" s="135" t="str">
        <f>LEFT(Table_2[[#This Row],[Flt. ID]],2)&amp;RIGHT(Table_2[[#This Row],[Flt. ID]],3)</f>
        <v>UO601</v>
      </c>
      <c r="L85" s="131" t="str">
        <f>"H"&amp;ROW(Table_2[[#This Row],[A/C]])+1&amp;":H300"</f>
        <v>H86:H300</v>
      </c>
      <c r="M85" s="164">
        <f>IFERROR(
    IF(Table_2[[#This Row],[Arr/ Dep]]="A",
        IF(
            INDEX(B86:B330,MATCH(Table_2[[#This Row],[A/C]],H86:H330,0))
            - IF(Table_2[[#This Row],[ETA/ETD]]="",Table_2[[#This Row],[STA/STD]],Table_2[[#This Row],[ETA/ETD]]) &lt; 0,
            "ASAP",
            IF(Table_2[[#This Row],[ETA/ETD]]="",
                INDEX(B86:B330,MATCH(Table_2[[#This Row],[A/C]],H86:H330,0))-Table_2[[#This Row],[STA/STD]],
                INDEX(B86:B330,MATCH(Table_2[[#This Row],[A/C]],H86:H330,0))-Table_2[[#This Row],[ETA/ETD]])
        ),
        ""
    ),
"TBC")</f>
        <v>4.6527777776645962E-2</v>
      </c>
      <c r="N85" s="140" t="str" cm="1">
        <f t="array" ref="N8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5" s="135" t="str">
        <f>Table_2[[#This Row],[A/C]]&amp;Table_2[[#This Row],[Column2]]</f>
        <v>BKKNUO601</v>
      </c>
      <c r="Q8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5" s="166" t="str">
        <f>IFERROR(Table_2[[#This Row],[UTC TIME]]-TIME(1,30,0),"")</f>
        <v/>
      </c>
      <c r="S85" s="167" t="s">
        <v>474</v>
      </c>
      <c r="T85" s="186" t="s">
        <v>322</v>
      </c>
      <c r="U85" s="127"/>
      <c r="V85" s="127"/>
      <c r="W85" s="127"/>
      <c r="X85" s="127"/>
      <c r="Y85" s="127"/>
    </row>
    <row r="86" spans="1:25" hidden="1">
      <c r="A86" s="140" t="s">
        <v>226</v>
      </c>
      <c r="B86" s="163">
        <v>46066.659722222219</v>
      </c>
      <c r="C86" s="163"/>
      <c r="D86" s="136" t="s">
        <v>259</v>
      </c>
      <c r="E86" s="140" t="s">
        <v>106</v>
      </c>
      <c r="F86" s="280" t="s">
        <v>107</v>
      </c>
      <c r="G86" s="280"/>
      <c r="H86" s="144" t="s">
        <v>97</v>
      </c>
      <c r="I86" s="140" t="s">
        <v>173</v>
      </c>
      <c r="J86" s="140" t="s">
        <v>42</v>
      </c>
      <c r="K86" s="135" t="str">
        <f>LEFT(Table_2[[#This Row],[Flt. ID]],2)&amp;RIGHT(Table_2[[#This Row],[Flt. ID]],3)</f>
        <v>UO826</v>
      </c>
      <c r="L86" s="131" t="str">
        <f>"H"&amp;ROW(Table_2[[#This Row],[A/C]])+1&amp;":H300"</f>
        <v>H87:H300</v>
      </c>
      <c r="M86" s="164" t="str">
        <f>IFERROR(
    IF(Table_2[[#This Row],[Arr/ Dep]]="A",
        IF(
            INDEX(B87:B331,MATCH(Table_2[[#This Row],[A/C]],H87:H331,0))
            - IF(Table_2[[#This Row],[ETA/ETD]]="",Table_2[[#This Row],[STA/STD]],Table_2[[#This Row],[ETA/ETD]]) &lt; 0,
            "ASAP",
            IF(Table_2[[#This Row],[ETA/ETD]]="",
                INDEX(B87:B331,MATCH(Table_2[[#This Row],[A/C]],H87:H331,0))-Table_2[[#This Row],[STA/STD]],
                INDEX(B87:B331,MATCH(Table_2[[#This Row],[A/C]],H87:H331,0))-Table_2[[#This Row],[ETA/ETD]])
        ),
        ""
    ),
"TBC")</f>
        <v/>
      </c>
      <c r="N86" s="140" t="str" cm="1">
        <f t="array" ref="N8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6" s="135" t="str">
        <f>Table_2[[#This Row],[A/C]]&amp;Table_2[[#This Row],[Column2]]</f>
        <v>BLEEUO826</v>
      </c>
      <c r="Q8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6" s="166" t="str">
        <f>IFERROR(Table_2[[#This Row],[UTC TIME]]-TIME(1,30,0),"")</f>
        <v/>
      </c>
      <c r="S86" s="167"/>
      <c r="T86" s="186"/>
      <c r="U86" s="127"/>
      <c r="V86" s="127"/>
      <c r="W86" s="127"/>
      <c r="X86" s="127"/>
      <c r="Y86" s="127"/>
    </row>
    <row r="87" spans="1:25" hidden="1">
      <c r="A87" s="140" t="s">
        <v>227</v>
      </c>
      <c r="B87" s="163">
        <v>46066.666666666664</v>
      </c>
      <c r="C87" s="163">
        <v>46066.650694444441</v>
      </c>
      <c r="D87" s="136" t="s">
        <v>259</v>
      </c>
      <c r="E87" s="140" t="s">
        <v>182</v>
      </c>
      <c r="F87" s="280" t="s">
        <v>183</v>
      </c>
      <c r="G87" s="280"/>
      <c r="H87" s="144" t="s">
        <v>101</v>
      </c>
      <c r="I87" s="140" t="s">
        <v>31</v>
      </c>
      <c r="J87" s="140" t="s">
        <v>26</v>
      </c>
      <c r="K87" s="135" t="str">
        <f>LEFT(Table_2[[#This Row],[Flt. ID]],2)&amp;RIGHT(Table_2[[#This Row],[Flt. ID]],3)</f>
        <v>UO111</v>
      </c>
      <c r="L87" s="131" t="str">
        <f>"H"&amp;ROW(Table_2[[#This Row],[A/C]])+1&amp;":H300"</f>
        <v>H88:H300</v>
      </c>
      <c r="M87" s="164">
        <f>IFERROR(
    IF(Table_2[[#This Row],[Arr/ Dep]]="A",
        IF(
            INDEX(B88:B332,MATCH(Table_2[[#This Row],[A/C]],H88:H332,0))
            - IF(Table_2[[#This Row],[ETA/ETD]]="",Table_2[[#This Row],[STA/STD]],Table_2[[#This Row],[ETA/ETD]]) &lt; 0,
            "ASAP",
            IF(Table_2[[#This Row],[ETA/ETD]]="",
                INDEX(B88:B332,MATCH(Table_2[[#This Row],[A/C]],H88:H332,0))-Table_2[[#This Row],[STA/STD]],
                INDEX(B88:B332,MATCH(Table_2[[#This Row],[A/C]],H88:H332,0))-Table_2[[#This Row],[ETA/ETD]])
        ),
        ""
    ),
"TBC")</f>
        <v>5.0694444449618459E-2</v>
      </c>
      <c r="N87" s="140" t="str" cm="1">
        <f t="array" ref="N8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7" s="135" t="str">
        <f>Table_2[[#This Row],[A/C]]&amp;Table_2[[#This Row],[Column2]]</f>
        <v>BLEIUO111</v>
      </c>
      <c r="Q8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7" s="166" t="str">
        <f>IFERROR(Table_2[[#This Row],[UTC TIME]]-TIME(1,30,0),"")</f>
        <v/>
      </c>
      <c r="S87" s="167"/>
      <c r="T87" s="186"/>
      <c r="U87" s="127"/>
      <c r="V87" s="127"/>
      <c r="W87" s="127"/>
      <c r="X87" s="127"/>
      <c r="Y87" s="127"/>
    </row>
    <row r="88" spans="1:25" hidden="1">
      <c r="A88" s="140" t="s">
        <v>228</v>
      </c>
      <c r="B88" s="163">
        <v>46066.673611111109</v>
      </c>
      <c r="C88" s="163"/>
      <c r="D88" s="136" t="s">
        <v>259</v>
      </c>
      <c r="E88" s="140" t="s">
        <v>128</v>
      </c>
      <c r="F88" s="280" t="s">
        <v>129</v>
      </c>
      <c r="G88" s="280"/>
      <c r="H88" s="144" t="s">
        <v>175</v>
      </c>
      <c r="I88" s="140" t="s">
        <v>41</v>
      </c>
      <c r="J88" s="140" t="s">
        <v>42</v>
      </c>
      <c r="K88" s="135" t="str">
        <f>LEFT(Table_2[[#This Row],[Flt. ID]],2)&amp;RIGHT(Table_2[[#This Row],[Flt. ID]],3)</f>
        <v>UO568</v>
      </c>
      <c r="L88" s="131" t="str">
        <f>"H"&amp;ROW(Table_2[[#This Row],[A/C]])+1&amp;":H300"</f>
        <v>H89:H300</v>
      </c>
      <c r="M88" s="164" t="str">
        <f>IFERROR(
    IF(Table_2[[#This Row],[Arr/ Dep]]="A",
        IF(
            INDEX(B89:B333,MATCH(Table_2[[#This Row],[A/C]],H89:H333,0))
            - IF(Table_2[[#This Row],[ETA/ETD]]="",Table_2[[#This Row],[STA/STD]],Table_2[[#This Row],[ETA/ETD]]) &lt; 0,
            "ASAP",
            IF(Table_2[[#This Row],[ETA/ETD]]="",
                INDEX(B89:B333,MATCH(Table_2[[#This Row],[A/C]],H89:H333,0))-Table_2[[#This Row],[STA/STD]],
                INDEX(B89:B333,MATCH(Table_2[[#This Row],[A/C]],H89:H333,0))-Table_2[[#This Row],[ETA/ETD]])
        ),
        ""
    ),
"TBC")</f>
        <v/>
      </c>
      <c r="N88" s="140" t="str" cm="1">
        <f t="array" ref="N8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8" s="135" t="str">
        <f>Table_2[[#This Row],[A/C]]&amp;Table_2[[#This Row],[Column2]]</f>
        <v>BHTIUO568</v>
      </c>
      <c r="Q8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8" s="166" t="str">
        <f>IFERROR(Table_2[[#This Row],[UTC TIME]]-TIME(1,30,0),"")</f>
        <v/>
      </c>
      <c r="S88" s="167"/>
      <c r="T88" s="186"/>
      <c r="U88" s="204"/>
      <c r="V88" s="204"/>
      <c r="W88" s="204"/>
      <c r="X88" s="204"/>
      <c r="Y88" s="127"/>
    </row>
    <row r="89" spans="1:25">
      <c r="A89" s="140" t="s">
        <v>229</v>
      </c>
      <c r="B89" s="163">
        <v>46066.680555555555</v>
      </c>
      <c r="C89" s="163"/>
      <c r="D89" s="136" t="s">
        <v>259</v>
      </c>
      <c r="E89" s="140" t="s">
        <v>56</v>
      </c>
      <c r="F89" s="280" t="s">
        <v>57</v>
      </c>
      <c r="G89" s="280"/>
      <c r="H89" s="144" t="s">
        <v>58</v>
      </c>
      <c r="I89" s="140" t="s">
        <v>187</v>
      </c>
      <c r="J89" s="140" t="s">
        <v>42</v>
      </c>
      <c r="K89" s="135" t="str">
        <f>LEFT(Table_2[[#This Row],[Flt. ID]],2)&amp;RIGHT(Table_2[[#This Row],[Flt. ID]],3)</f>
        <v>UO716</v>
      </c>
      <c r="L89" s="131" t="str">
        <f>"H"&amp;ROW(Table_2[[#This Row],[A/C]])+1&amp;":H300"</f>
        <v>H90:H300</v>
      </c>
      <c r="M89" s="164" t="str">
        <f>IFERROR(
    IF(Table_2[[#This Row],[Arr/ Dep]]="A",
        IF(
            INDEX(B90:B334,MATCH(Table_2[[#This Row],[A/C]],H90:H334,0))
            - IF(Table_2[[#This Row],[ETA/ETD]]="",Table_2[[#This Row],[STA/STD]],Table_2[[#This Row],[ETA/ETD]]) &lt; 0,
            "ASAP",
            IF(Table_2[[#This Row],[ETA/ETD]]="",
                INDEX(B90:B334,MATCH(Table_2[[#This Row],[A/C]],H90:H334,0))-Table_2[[#This Row],[STA/STD]],
                INDEX(B90:B334,MATCH(Table_2[[#This Row],[A/C]],H90:H334,0))-Table_2[[#This Row],[ETA/ETD]])
        ),
        ""
    ),
"TBC")</f>
        <v/>
      </c>
      <c r="N89" s="140" t="str" cm="1">
        <f t="array" ref="N8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8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89" s="135" t="str">
        <f>Table_2[[#This Row],[A/C]]&amp;Table_2[[#This Row],[Column2]]</f>
        <v>BHSMUO716</v>
      </c>
      <c r="Q8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89" s="166" t="str">
        <f>IFERROR(Table_2[[#This Row],[UTC TIME]]-TIME(1,30,0),"")</f>
        <v/>
      </c>
      <c r="S89" s="167" t="s">
        <v>1121</v>
      </c>
      <c r="T89" s="186" t="s">
        <v>1028</v>
      </c>
      <c r="U89" s="127"/>
      <c r="V89" s="127"/>
      <c r="W89" s="127"/>
      <c r="X89" s="127"/>
      <c r="Y89" s="127"/>
    </row>
    <row r="90" spans="1:25" hidden="1">
      <c r="A90" s="140" t="s">
        <v>230</v>
      </c>
      <c r="B90" s="163">
        <v>46066.690972222219</v>
      </c>
      <c r="C90" s="163">
        <v>46066.676388888889</v>
      </c>
      <c r="D90" s="136" t="s">
        <v>259</v>
      </c>
      <c r="E90" s="140" t="s">
        <v>133</v>
      </c>
      <c r="F90" s="280" t="s">
        <v>134</v>
      </c>
      <c r="G90" s="280"/>
      <c r="H90" s="144" t="s">
        <v>47</v>
      </c>
      <c r="I90" s="140" t="s">
        <v>61</v>
      </c>
      <c r="J90" s="140" t="s">
        <v>26</v>
      </c>
      <c r="K90" s="135" t="str">
        <f>LEFT(Table_2[[#This Row],[Flt. ID]],2)&amp;RIGHT(Table_2[[#This Row],[Flt. ID]],3)</f>
        <v>UO133</v>
      </c>
      <c r="L90" s="131" t="str">
        <f>"H"&amp;ROW(Table_2[[#This Row],[A/C]])+1&amp;":H300"</f>
        <v>H91:H300</v>
      </c>
      <c r="M90" s="164">
        <f>IFERROR(
    IF(Table_2[[#This Row],[Arr/ Dep]]="A",
        IF(
            INDEX(B91:B335,MATCH(Table_2[[#This Row],[A/C]],H91:H335,0))
            - IF(Table_2[[#This Row],[ETA/ETD]]="",Table_2[[#This Row],[STA/STD]],Table_2[[#This Row],[ETA/ETD]]) &lt; 0,
            "ASAP",
            IF(Table_2[[#This Row],[ETA/ETD]]="",
                INDEX(B91:B335,MATCH(Table_2[[#This Row],[A/C]],H91:H335,0))-Table_2[[#This Row],[STA/STD]],
                INDEX(B91:B335,MATCH(Table_2[[#This Row],[A/C]],H91:H335,0))-Table_2[[#This Row],[ETA/ETD]])
        ),
        ""
    ),
"TBC")</f>
        <v>4.9305555556202307E-2</v>
      </c>
      <c r="N90" s="140" t="str" cm="1">
        <f t="array" ref="N9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0" s="135" t="str">
        <f>Table_2[[#This Row],[A/C]]&amp;Table_2[[#This Row],[Column2]]</f>
        <v>BLEHUO133</v>
      </c>
      <c r="Q9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0" s="166" t="str">
        <f>IFERROR(Table_2[[#This Row],[UTC TIME]]-TIME(1,30,0),"")</f>
        <v/>
      </c>
      <c r="S90" s="167"/>
      <c r="T90" s="186"/>
      <c r="U90" s="127"/>
      <c r="V90" s="127"/>
      <c r="W90" s="127"/>
      <c r="X90" s="127"/>
      <c r="Y90" s="127"/>
    </row>
    <row r="91" spans="1:25">
      <c r="A91" s="140" t="s">
        <v>231</v>
      </c>
      <c r="B91" s="163">
        <v>46066.690972222219</v>
      </c>
      <c r="C91" s="163"/>
      <c r="D91" s="136" t="s">
        <v>259</v>
      </c>
      <c r="E91" s="140" t="s">
        <v>38</v>
      </c>
      <c r="F91" s="280" t="s">
        <v>39</v>
      </c>
      <c r="G91" s="280"/>
      <c r="H91" s="144" t="s">
        <v>92</v>
      </c>
      <c r="I91" s="140" t="s">
        <v>209</v>
      </c>
      <c r="J91" s="140" t="s">
        <v>42</v>
      </c>
      <c r="K91" s="135" t="str">
        <f>LEFT(Table_2[[#This Row],[Flt. ID]],2)&amp;RIGHT(Table_2[[#This Row],[Flt. ID]],3)</f>
        <v>UO626</v>
      </c>
      <c r="L91" s="131" t="str">
        <f>"H"&amp;ROW(Table_2[[#This Row],[A/C]])+1&amp;":H300"</f>
        <v>H92:H300</v>
      </c>
      <c r="M91" s="164" t="str">
        <f>IFERROR(
    IF(Table_2[[#This Row],[Arr/ Dep]]="A",
        IF(
            INDEX(B92:B336,MATCH(Table_2[[#This Row],[A/C]],H92:H336,0))
            - IF(Table_2[[#This Row],[ETA/ETD]]="",Table_2[[#This Row],[STA/STD]],Table_2[[#This Row],[ETA/ETD]]) &lt; 0,
            "ASAP",
            IF(Table_2[[#This Row],[ETA/ETD]]="",
                INDEX(B92:B336,MATCH(Table_2[[#This Row],[A/C]],H92:H336,0))-Table_2[[#This Row],[STA/STD]],
                INDEX(B92:B336,MATCH(Table_2[[#This Row],[A/C]],H92:H336,0))-Table_2[[#This Row],[ETA/ETD]])
        ),
        ""
    ),
"TBC")</f>
        <v/>
      </c>
      <c r="N91" s="140" t="str" cm="1">
        <f t="array" ref="N9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1" s="135" t="str">
        <f>Table_2[[#This Row],[A/C]]&amp;Table_2[[#This Row],[Column2]]</f>
        <v>BKKNUO626</v>
      </c>
      <c r="Q9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1" s="166" t="str">
        <f>IFERROR(Table_2[[#This Row],[UTC TIME]]-TIME(1,30,0),"")</f>
        <v/>
      </c>
      <c r="S91" s="167" t="s">
        <v>1122</v>
      </c>
      <c r="T91" s="186" t="s">
        <v>1024</v>
      </c>
      <c r="U91" s="127"/>
      <c r="V91" s="127"/>
      <c r="W91" s="127"/>
      <c r="X91" s="127"/>
      <c r="Y91" s="127"/>
    </row>
    <row r="92" spans="1:25">
      <c r="A92" s="140" t="s">
        <v>233</v>
      </c>
      <c r="B92" s="163">
        <v>46066.697916666664</v>
      </c>
      <c r="C92" s="163"/>
      <c r="D92" s="136" t="s">
        <v>259</v>
      </c>
      <c r="E92" s="140" t="s">
        <v>140</v>
      </c>
      <c r="F92" s="280" t="s">
        <v>141</v>
      </c>
      <c r="G92" s="280"/>
      <c r="H92" s="144" t="s">
        <v>89</v>
      </c>
      <c r="I92" s="140" t="s">
        <v>159</v>
      </c>
      <c r="J92" s="140" t="s">
        <v>26</v>
      </c>
      <c r="K92" s="135" t="str">
        <f>LEFT(Table_2[[#This Row],[Flt. ID]],2)&amp;RIGHT(Table_2[[#This Row],[Flt. ID]],3)</f>
        <v>UO507</v>
      </c>
      <c r="L92" s="131" t="str">
        <f>"H"&amp;ROW(Table_2[[#This Row],[A/C]])+1&amp;":H300"</f>
        <v>H93:H300</v>
      </c>
      <c r="M92" s="164">
        <f>IFERROR(
    IF(Table_2[[#This Row],[Arr/ Dep]]="A",
        IF(
            INDEX(B93:B337,MATCH(Table_2[[#This Row],[A/C]],H93:H337,0))
            - IF(Table_2[[#This Row],[ETA/ETD]]="",Table_2[[#This Row],[STA/STD]],Table_2[[#This Row],[ETA/ETD]]) &lt; 0,
            "ASAP",
            IF(Table_2[[#This Row],[ETA/ETD]]="",
                INDEX(B93:B337,MATCH(Table_2[[#This Row],[A/C]],H93:H337,0))-Table_2[[#This Row],[STA/STD]],
                INDEX(B93:B337,MATCH(Table_2[[#This Row],[A/C]],H93:H337,0))-Table_2[[#This Row],[ETA/ETD]])
        ),
        ""
    ),
"TBC")</f>
        <v>3.8194444445252884E-2</v>
      </c>
      <c r="N92" s="140" t="str" cm="1">
        <f t="array" ref="N9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2" s="135" t="str">
        <f>Table_2[[#This Row],[A/C]]&amp;Table_2[[#This Row],[Column2]]</f>
        <v>BLCIUO507</v>
      </c>
      <c r="Q9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2" s="166" t="str">
        <f>IFERROR(Table_2[[#This Row],[UTC TIME]]-TIME(1,30,0),"")</f>
        <v/>
      </c>
      <c r="S92" s="167" t="s">
        <v>1121</v>
      </c>
      <c r="T92" s="186" t="s">
        <v>1028</v>
      </c>
      <c r="U92" s="127"/>
      <c r="V92" s="127"/>
      <c r="W92" s="127"/>
      <c r="X92" s="127"/>
      <c r="Y92" s="127"/>
    </row>
    <row r="93" spans="1:25">
      <c r="A93" s="140" t="s">
        <v>234</v>
      </c>
      <c r="B93" s="163">
        <v>46066.697916666664</v>
      </c>
      <c r="C93" s="163">
        <v>46066.729166666664</v>
      </c>
      <c r="D93" s="136" t="s">
        <v>259</v>
      </c>
      <c r="E93" s="140" t="s">
        <v>119</v>
      </c>
      <c r="F93" s="280" t="s">
        <v>120</v>
      </c>
      <c r="G93" s="280"/>
      <c r="H93" s="144" t="s">
        <v>54</v>
      </c>
      <c r="I93" s="140" t="s">
        <v>221</v>
      </c>
      <c r="J93" s="140" t="s">
        <v>42</v>
      </c>
      <c r="K93" s="135" t="str">
        <f>LEFT(Table_2[[#This Row],[Flt. ID]],2)&amp;RIGHT(Table_2[[#This Row],[Flt. ID]],3)</f>
        <v>UO744</v>
      </c>
      <c r="L93" s="131" t="str">
        <f>"H"&amp;ROW(Table_2[[#This Row],[A/C]])+1&amp;":H300"</f>
        <v>H94:H300</v>
      </c>
      <c r="M93" s="164" t="str">
        <f>IFERROR(
    IF(Table_2[[#This Row],[Arr/ Dep]]="A",
        IF(
            INDEX(B94:B338,MATCH(Table_2[[#This Row],[A/C]],H94:H338,0))
            - IF(Table_2[[#This Row],[ETA/ETD]]="",Table_2[[#This Row],[STA/STD]],Table_2[[#This Row],[ETA/ETD]]) &lt; 0,
            "ASAP",
            IF(Table_2[[#This Row],[ETA/ETD]]="",
                INDEX(B94:B338,MATCH(Table_2[[#This Row],[A/C]],H94:H338,0))-Table_2[[#This Row],[STA/STD]],
                INDEX(B94:B338,MATCH(Table_2[[#This Row],[A/C]],H94:H338,0))-Table_2[[#This Row],[ETA/ETD]])
        ),
        ""
    ),
"TBC")</f>
        <v/>
      </c>
      <c r="N93" s="140" t="str" cm="1">
        <f t="array" ref="N9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3" s="135" t="str">
        <f>Table_2[[#This Row],[A/C]]&amp;Table_2[[#This Row],[Column2]]</f>
        <v>BKKEUO744</v>
      </c>
      <c r="Q9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3" s="166" t="str">
        <f>IFERROR(Table_2[[#This Row],[UTC TIME]]-TIME(1,30,0),"")</f>
        <v/>
      </c>
      <c r="S93" s="167" t="s">
        <v>1122</v>
      </c>
      <c r="T93" s="186" t="s">
        <v>1024</v>
      </c>
      <c r="U93" s="127"/>
      <c r="V93" s="127"/>
      <c r="W93" s="127"/>
      <c r="X93" s="127"/>
      <c r="Y93" s="127"/>
    </row>
    <row r="94" spans="1:25" hidden="1">
      <c r="A94" s="140" t="s">
        <v>235</v>
      </c>
      <c r="B94" s="163">
        <v>46066.701388888891</v>
      </c>
      <c r="C94" s="163"/>
      <c r="D94" s="136" t="s">
        <v>259</v>
      </c>
      <c r="E94" s="140" t="s">
        <v>140</v>
      </c>
      <c r="F94" s="280" t="s">
        <v>141</v>
      </c>
      <c r="G94" s="280"/>
      <c r="H94" s="144" t="s">
        <v>101</v>
      </c>
      <c r="I94" s="140" t="s">
        <v>31</v>
      </c>
      <c r="J94" s="140" t="s">
        <v>42</v>
      </c>
      <c r="K94" s="135" t="str">
        <f>LEFT(Table_2[[#This Row],[Flt. ID]],2)&amp;RIGHT(Table_2[[#This Row],[Flt. ID]],3)</f>
        <v>UO558</v>
      </c>
      <c r="L94" s="131" t="str">
        <f>"H"&amp;ROW(Table_2[[#This Row],[A/C]])+1&amp;":H300"</f>
        <v>H95:H300</v>
      </c>
      <c r="M94" s="164" t="str">
        <f>IFERROR(
    IF(Table_2[[#This Row],[Arr/ Dep]]="A",
        IF(
            INDEX(B95:B339,MATCH(Table_2[[#This Row],[A/C]],H95:H339,0))
            - IF(Table_2[[#This Row],[ETA/ETD]]="",Table_2[[#This Row],[STA/STD]],Table_2[[#This Row],[ETA/ETD]]) &lt; 0,
            "ASAP",
            IF(Table_2[[#This Row],[ETA/ETD]]="",
                INDEX(B95:B339,MATCH(Table_2[[#This Row],[A/C]],H95:H339,0))-Table_2[[#This Row],[STA/STD]],
                INDEX(B95:B339,MATCH(Table_2[[#This Row],[A/C]],H95:H339,0))-Table_2[[#This Row],[ETA/ETD]])
        ),
        ""
    ),
"TBC")</f>
        <v/>
      </c>
      <c r="N94" s="140" t="str" cm="1">
        <f t="array" ref="N9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4" s="135" t="str">
        <f>Table_2[[#This Row],[A/C]]&amp;Table_2[[#This Row],[Column2]]</f>
        <v>BLEIUO558</v>
      </c>
      <c r="Q9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4" s="166" t="str">
        <f>IFERROR(Table_2[[#This Row],[UTC TIME]]-TIME(1,30,0),"")</f>
        <v/>
      </c>
      <c r="S94" s="167"/>
      <c r="T94" s="186"/>
      <c r="U94" s="204"/>
      <c r="V94" s="204"/>
      <c r="W94" s="204"/>
      <c r="X94" s="204"/>
      <c r="Y94" s="127"/>
    </row>
    <row r="95" spans="1:25">
      <c r="A95" s="140" t="s">
        <v>238</v>
      </c>
      <c r="B95" s="163">
        <v>46066.701388888891</v>
      </c>
      <c r="C95" s="163">
        <v>46066.697916666664</v>
      </c>
      <c r="D95" s="136" t="s">
        <v>259</v>
      </c>
      <c r="E95" s="140" t="s">
        <v>146</v>
      </c>
      <c r="F95" s="280" t="s">
        <v>147</v>
      </c>
      <c r="G95" s="280"/>
      <c r="H95" s="144" t="s">
        <v>113</v>
      </c>
      <c r="I95" s="140" t="s">
        <v>176</v>
      </c>
      <c r="J95" s="140" t="s">
        <v>26</v>
      </c>
      <c r="K95" s="135" t="str">
        <f>LEFT(Table_2[[#This Row],[Flt. ID]],2)&amp;RIGHT(Table_2[[#This Row],[Flt. ID]],3)</f>
        <v>UO675</v>
      </c>
      <c r="L95" s="131" t="str">
        <f>"H"&amp;ROW(Table_2[[#This Row],[A/C]])+1&amp;":H300"</f>
        <v>H96:H300</v>
      </c>
      <c r="M95" s="164">
        <f>IFERROR(
    IF(Table_2[[#This Row],[Arr/ Dep]]="A",
        IF(
            INDEX(B96:B340,MATCH(Table_2[[#This Row],[A/C]],H96:H340,0))
            - IF(Table_2[[#This Row],[ETA/ETD]]="",Table_2[[#This Row],[STA/STD]],Table_2[[#This Row],[ETA/ETD]]) &lt; 0,
            "ASAP",
            IF(Table_2[[#This Row],[ETA/ETD]]="",
                INDEX(B96:B340,MATCH(Table_2[[#This Row],[A/C]],H96:H340,0))-Table_2[[#This Row],[STA/STD]],
                INDEX(B96:B340,MATCH(Table_2[[#This Row],[A/C]],H96:H340,0))-Table_2[[#This Row],[ETA/ETD]])
        ),
        ""
    ),
"TBC")</f>
        <v>6.25E-2</v>
      </c>
      <c r="N95" s="140" t="str" cm="1">
        <f t="array" ref="N9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5" s="135" t="str">
        <f>Table_2[[#This Row],[A/C]]&amp;Table_2[[#This Row],[Column2]]</f>
        <v>BKKIUO675</v>
      </c>
      <c r="Q9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5" s="166" t="str">
        <f>IFERROR(Table_2[[#This Row],[UTC TIME]]-TIME(1,30,0),"")</f>
        <v/>
      </c>
      <c r="S95" s="167" t="s">
        <v>1123</v>
      </c>
      <c r="T95" s="186" t="s">
        <v>1026</v>
      </c>
      <c r="U95" s="127"/>
      <c r="V95" s="127"/>
      <c r="W95" s="127"/>
      <c r="X95" s="127"/>
      <c r="Y95" s="127"/>
    </row>
    <row r="96" spans="1:25">
      <c r="A96" s="140" t="s">
        <v>236</v>
      </c>
      <c r="B96" s="163">
        <v>46066.704861111109</v>
      </c>
      <c r="C96" s="163">
        <v>46066.692361111112</v>
      </c>
      <c r="D96" s="136" t="s">
        <v>259</v>
      </c>
      <c r="E96" s="140" t="s">
        <v>182</v>
      </c>
      <c r="F96" s="280" t="s">
        <v>183</v>
      </c>
      <c r="G96" s="280"/>
      <c r="H96" s="144" t="s">
        <v>44</v>
      </c>
      <c r="I96" s="140" t="s">
        <v>78</v>
      </c>
      <c r="J96" s="140" t="s">
        <v>26</v>
      </c>
      <c r="K96" s="135" t="str">
        <f>LEFT(Table_2[[#This Row],[Flt. ID]],2)&amp;RIGHT(Table_2[[#This Row],[Flt. ID]],3)</f>
        <v>UO113</v>
      </c>
      <c r="L96" s="131" t="str">
        <f>"H"&amp;ROW(Table_2[[#This Row],[A/C]])+1&amp;":H300"</f>
        <v>H97:H300</v>
      </c>
      <c r="M96" s="164">
        <f>IFERROR(
    IF(Table_2[[#This Row],[Arr/ Dep]]="A",
        IF(
            INDEX(B97:B341,MATCH(Table_2[[#This Row],[A/C]],H97:H341,0))
            - IF(Table_2[[#This Row],[ETA/ETD]]="",Table_2[[#This Row],[STA/STD]],Table_2[[#This Row],[ETA/ETD]]) &lt; 0,
            "ASAP",
            IF(Table_2[[#This Row],[ETA/ETD]]="",
                INDEX(B97:B341,MATCH(Table_2[[#This Row],[A/C]],H97:H341,0))-Table_2[[#This Row],[STA/STD]],
                INDEX(B97:B341,MATCH(Table_2[[#This Row],[A/C]],H97:H341,0))-Table_2[[#This Row],[ETA/ETD]])
        ),
        ""
    ),
"TBC")</f>
        <v>5.4166666668606922E-2</v>
      </c>
      <c r="N96" s="140" t="str" cm="1">
        <f t="array" ref="N9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6" s="135" t="str">
        <f>Table_2[[#This Row],[A/C]]&amp;Table_2[[#This Row],[Column2]]</f>
        <v>BKKPUO113</v>
      </c>
      <c r="Q9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6" s="166" t="str">
        <f>IFERROR(Table_2[[#This Row],[UTC TIME]]-TIME(1,30,0),"")</f>
        <v/>
      </c>
      <c r="S96" s="167" t="s">
        <v>1122</v>
      </c>
      <c r="T96" s="186" t="s">
        <v>1024</v>
      </c>
      <c r="U96" s="127"/>
      <c r="V96" s="127"/>
      <c r="W96" s="127"/>
      <c r="X96" s="127"/>
      <c r="Y96" s="127"/>
    </row>
    <row r="97" spans="1:25">
      <c r="A97" s="140" t="s">
        <v>237</v>
      </c>
      <c r="B97" s="163">
        <v>46066.704861111109</v>
      </c>
      <c r="C97" s="163"/>
      <c r="D97" s="136" t="s">
        <v>259</v>
      </c>
      <c r="E97" s="140" t="s">
        <v>125</v>
      </c>
      <c r="F97" s="280" t="s">
        <v>126</v>
      </c>
      <c r="G97" s="280"/>
      <c r="H97" s="144" t="s">
        <v>24</v>
      </c>
      <c r="I97" s="140" t="s">
        <v>90</v>
      </c>
      <c r="J97" s="140" t="s">
        <v>42</v>
      </c>
      <c r="K97" s="135" t="str">
        <f>LEFT(Table_2[[#This Row],[Flt. ID]],2)&amp;RIGHT(Table_2[[#This Row],[Flt. ID]],3)</f>
        <v>UO702</v>
      </c>
      <c r="L97" s="131" t="str">
        <f>"H"&amp;ROW(Table_2[[#This Row],[A/C]])+1&amp;":H300"</f>
        <v>H98:H300</v>
      </c>
      <c r="M97" s="164" t="str">
        <f>IFERROR(
    IF(Table_2[[#This Row],[Arr/ Dep]]="A",
        IF(
            INDEX(B98:B342,MATCH(Table_2[[#This Row],[A/C]],H98:H342,0))
            - IF(Table_2[[#This Row],[ETA/ETD]]="",Table_2[[#This Row],[STA/STD]],Table_2[[#This Row],[ETA/ETD]]) &lt; 0,
            "ASAP",
            IF(Table_2[[#This Row],[ETA/ETD]]="",
                INDEX(B98:B342,MATCH(Table_2[[#This Row],[A/C]],H98:H342,0))-Table_2[[#This Row],[STA/STD]],
                INDEX(B98:B342,MATCH(Table_2[[#This Row],[A/C]],H98:H342,0))-Table_2[[#This Row],[ETA/ETD]])
        ),
        ""
    ),
"TBC")</f>
        <v/>
      </c>
      <c r="N97" s="140" t="str" cm="1">
        <f t="array" ref="N9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7" s="135" t="str">
        <f>Table_2[[#This Row],[A/C]]&amp;Table_2[[#This Row],[Column2]]</f>
        <v>BLCSUO702</v>
      </c>
      <c r="Q9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7" s="166" t="str">
        <f>IFERROR(Table_2[[#This Row],[UTC TIME]]-TIME(1,30,0),"")</f>
        <v/>
      </c>
      <c r="S97" s="167" t="s">
        <v>1123</v>
      </c>
      <c r="T97" s="186" t="s">
        <v>1026</v>
      </c>
      <c r="U97" s="127"/>
      <c r="V97" s="209"/>
      <c r="W97" s="127"/>
      <c r="X97" s="127"/>
      <c r="Y97" s="127"/>
    </row>
    <row r="98" spans="1:25">
      <c r="A98" s="140" t="s">
        <v>239</v>
      </c>
      <c r="B98" s="163">
        <v>46066.722222222219</v>
      </c>
      <c r="C98" s="163">
        <v>46066.724305555559</v>
      </c>
      <c r="D98" s="136" t="s">
        <v>259</v>
      </c>
      <c r="E98" s="140" t="s">
        <v>128</v>
      </c>
      <c r="F98" s="280" t="s">
        <v>129</v>
      </c>
      <c r="G98" s="280"/>
      <c r="H98" s="144" t="s">
        <v>138</v>
      </c>
      <c r="I98" s="140" t="s">
        <v>209</v>
      </c>
      <c r="J98" s="140" t="s">
        <v>26</v>
      </c>
      <c r="K98" s="135" t="str">
        <f>LEFT(Table_2[[#This Row],[Flt. ID]],2)&amp;RIGHT(Table_2[[#This Row],[Flt. ID]],3)</f>
        <v>UO577</v>
      </c>
      <c r="L98" s="131" t="str">
        <f>"H"&amp;ROW(Table_2[[#This Row],[A/C]])+1&amp;":H300"</f>
        <v>H99:H300</v>
      </c>
      <c r="M98" s="164">
        <f>IFERROR(
    IF(Table_2[[#This Row],[Arr/ Dep]]="A",
        IF(
            INDEX(B99:B343,MATCH(Table_2[[#This Row],[A/C]],H99:H343,0))
            - IF(Table_2[[#This Row],[ETA/ETD]]="",Table_2[[#This Row],[STA/STD]],Table_2[[#This Row],[ETA/ETD]]) &lt; 0,
            "ASAP",
            IF(Table_2[[#This Row],[ETA/ETD]]="",
                INDEX(B99:B343,MATCH(Table_2[[#This Row],[A/C]],H99:H343,0))-Table_2[[#This Row],[STA/STD]],
                INDEX(B99:B343,MATCH(Table_2[[#This Row],[A/C]],H99:H343,0))-Table_2[[#This Row],[ETA/ETD]])
        ),
        ""
    ),
"TBC")</f>
        <v>6.0416666659875773E-2</v>
      </c>
      <c r="N98" s="140" t="str" cm="1">
        <f t="array" ref="N9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8" s="135" t="str">
        <f>Table_2[[#This Row],[A/C]]&amp;Table_2[[#This Row],[Column2]]</f>
        <v>BLCJUO577</v>
      </c>
      <c r="Q9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8" s="166" t="str">
        <f>IFERROR(Table_2[[#This Row],[UTC TIME]]-TIME(1,30,0),"")</f>
        <v/>
      </c>
      <c r="S98" s="167" t="s">
        <v>1025</v>
      </c>
      <c r="T98" s="186" t="s">
        <v>322</v>
      </c>
      <c r="U98" s="174"/>
      <c r="V98" s="127"/>
      <c r="W98" s="127"/>
      <c r="X98" s="127"/>
      <c r="Y98" s="127"/>
    </row>
    <row r="99" spans="1:25" hidden="1">
      <c r="A99" s="140" t="s">
        <v>242</v>
      </c>
      <c r="B99" s="163">
        <v>46066.725694444445</v>
      </c>
      <c r="C99" s="163"/>
      <c r="D99" s="136" t="s">
        <v>259</v>
      </c>
      <c r="E99" s="140" t="s">
        <v>71</v>
      </c>
      <c r="F99" s="280" t="s">
        <v>72</v>
      </c>
      <c r="G99" s="280"/>
      <c r="H99" s="144" t="s">
        <v>47</v>
      </c>
      <c r="I99" s="140" t="s">
        <v>61</v>
      </c>
      <c r="J99" s="140" t="s">
        <v>42</v>
      </c>
      <c r="K99" s="135" t="str">
        <f>LEFT(Table_2[[#This Row],[Flt. ID]],2)&amp;RIGHT(Table_2[[#This Row],[Flt. ID]],3)</f>
        <v>UO514</v>
      </c>
      <c r="L99" s="131" t="str">
        <f>"H"&amp;ROW(Table_2[[#This Row],[A/C]])+1&amp;":H300"</f>
        <v>H100:H300</v>
      </c>
      <c r="M99" s="164" t="str">
        <f>IFERROR(
    IF(Table_2[[#This Row],[Arr/ Dep]]="A",
        IF(
            INDEX(B100:B344,MATCH(Table_2[[#This Row],[A/C]],H100:H344,0))
            - IF(Table_2[[#This Row],[ETA/ETD]]="",Table_2[[#This Row],[STA/STD]],Table_2[[#This Row],[ETA/ETD]]) &lt; 0,
            "ASAP",
            IF(Table_2[[#This Row],[ETA/ETD]]="",
                INDEX(B100:B344,MATCH(Table_2[[#This Row],[A/C]],H100:H344,0))-Table_2[[#This Row],[STA/STD]],
                INDEX(B100:B344,MATCH(Table_2[[#This Row],[A/C]],H100:H344,0))-Table_2[[#This Row],[ETA/ETD]])
        ),
        ""
    ),
"TBC")</f>
        <v/>
      </c>
      <c r="N99" s="140" t="str" cm="1">
        <f t="array" ref="N9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9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99" s="135" t="str">
        <f>Table_2[[#This Row],[A/C]]&amp;Table_2[[#This Row],[Column2]]</f>
        <v>BLEHUO514</v>
      </c>
      <c r="Q9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99" s="166" t="str">
        <f>IFERROR(Table_2[[#This Row],[UTC TIME]]-TIME(1,30,0),"")</f>
        <v/>
      </c>
      <c r="S99" s="167"/>
      <c r="T99" s="186"/>
      <c r="U99" s="127"/>
      <c r="V99" s="127"/>
      <c r="W99" s="127"/>
      <c r="X99" s="127"/>
      <c r="Y99" s="127"/>
    </row>
    <row r="100" spans="1:25">
      <c r="A100" s="140" t="s">
        <v>323</v>
      </c>
      <c r="B100" s="163">
        <v>46066.736111111109</v>
      </c>
      <c r="C100" s="163"/>
      <c r="D100" s="136" t="s">
        <v>259</v>
      </c>
      <c r="E100" s="140" t="s">
        <v>324</v>
      </c>
      <c r="F100" s="280" t="s">
        <v>325</v>
      </c>
      <c r="G100" s="280"/>
      <c r="H100" s="144" t="s">
        <v>89</v>
      </c>
      <c r="I100" s="140" t="s">
        <v>159</v>
      </c>
      <c r="J100" s="140" t="s">
        <v>42</v>
      </c>
      <c r="K100" s="135" t="str">
        <f>LEFT(Table_2[[#This Row],[Flt. ID]],2)&amp;RIGHT(Table_2[[#This Row],[Flt. ID]],3)</f>
        <v>UO272</v>
      </c>
      <c r="L100" s="131" t="str">
        <f>"H"&amp;ROW(Table_2[[#This Row],[A/C]])+1&amp;":H300"</f>
        <v>H101:H300</v>
      </c>
      <c r="M100" s="164" t="str">
        <f>IFERROR(
    IF(Table_2[[#This Row],[Arr/ Dep]]="A",
        IF(
            INDEX(B101:B345,MATCH(Table_2[[#This Row],[A/C]],H101:H345,0))
            - IF(Table_2[[#This Row],[ETA/ETD]]="",Table_2[[#This Row],[STA/STD]],Table_2[[#This Row],[ETA/ETD]]) &lt; 0,
            "ASAP",
            IF(Table_2[[#This Row],[ETA/ETD]]="",
                INDEX(B101:B345,MATCH(Table_2[[#This Row],[A/C]],H101:H345,0))-Table_2[[#This Row],[STA/STD]],
                INDEX(B101:B345,MATCH(Table_2[[#This Row],[A/C]],H101:H345,0))-Table_2[[#This Row],[ETA/ETD]])
        ),
        ""
    ),
"TBC")</f>
        <v/>
      </c>
      <c r="N100" s="140" t="str" cm="1">
        <f t="array" ref="N10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0" s="135" t="str">
        <f>Table_2[[#This Row],[A/C]]&amp;Table_2[[#This Row],[Column2]]</f>
        <v>BLCIUO272</v>
      </c>
      <c r="Q10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0" s="166" t="str">
        <f>IFERROR(Table_2[[#This Row],[UTC TIME]]-TIME(1,30,0),"")</f>
        <v/>
      </c>
      <c r="S100" s="167" t="s">
        <v>1121</v>
      </c>
      <c r="T100" s="186" t="s">
        <v>1028</v>
      </c>
      <c r="U100" s="174"/>
      <c r="V100" s="127"/>
      <c r="W100" s="127"/>
      <c r="X100" s="127"/>
      <c r="Y100" s="127"/>
    </row>
    <row r="101" spans="1:25">
      <c r="A101" s="140" t="s">
        <v>243</v>
      </c>
      <c r="B101" s="163">
        <v>46066.746527777781</v>
      </c>
      <c r="C101" s="163"/>
      <c r="D101" s="136" t="s">
        <v>259</v>
      </c>
      <c r="E101" s="140" t="s">
        <v>66</v>
      </c>
      <c r="F101" s="280" t="s">
        <v>67</v>
      </c>
      <c r="G101" s="280"/>
      <c r="H101" s="144" t="s">
        <v>44</v>
      </c>
      <c r="I101" s="140" t="s">
        <v>78</v>
      </c>
      <c r="J101" s="140" t="s">
        <v>42</v>
      </c>
      <c r="K101" s="135" t="str">
        <f>LEFT(Table_2[[#This Row],[Flt. ID]],2)&amp;RIGHT(Table_2[[#This Row],[Flt. ID]],3)</f>
        <v>UO622</v>
      </c>
      <c r="L101" s="131" t="str">
        <f>"H"&amp;ROW(Table_2[[#This Row],[A/C]])+1&amp;":H300"</f>
        <v>H102:H300</v>
      </c>
      <c r="M101" s="164" t="str">
        <f>IFERROR(
    IF(Table_2[[#This Row],[Arr/ Dep]]="A",
        IF(
            INDEX(B102:B346,MATCH(Table_2[[#This Row],[A/C]],H102:H346,0))
            - IF(Table_2[[#This Row],[ETA/ETD]]="",Table_2[[#This Row],[STA/STD]],Table_2[[#This Row],[ETA/ETD]]) &lt; 0,
            "ASAP",
            IF(Table_2[[#This Row],[ETA/ETD]]="",
                INDEX(B102:B346,MATCH(Table_2[[#This Row],[A/C]],H102:H346,0))-Table_2[[#This Row],[STA/STD]],
                INDEX(B102:B346,MATCH(Table_2[[#This Row],[A/C]],H102:H346,0))-Table_2[[#This Row],[ETA/ETD]])
        ),
        ""
    ),
"TBC")</f>
        <v/>
      </c>
      <c r="N101" s="140" t="str" cm="1">
        <f t="array" ref="N10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1" s="135" t="str">
        <f>Table_2[[#This Row],[A/C]]&amp;Table_2[[#This Row],[Column2]]</f>
        <v>BKKPUO622</v>
      </c>
      <c r="Q10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1" s="166" t="str">
        <f>IFERROR(Table_2[[#This Row],[UTC TIME]]-TIME(1,30,0),"")</f>
        <v/>
      </c>
      <c r="S101" s="167" t="s">
        <v>1122</v>
      </c>
      <c r="T101" s="186" t="s">
        <v>1024</v>
      </c>
      <c r="U101" s="127"/>
      <c r="V101" s="127"/>
      <c r="W101" s="127"/>
      <c r="X101" s="127"/>
      <c r="Y101" s="127"/>
    </row>
    <row r="102" spans="1:25">
      <c r="A102" s="140" t="s">
        <v>244</v>
      </c>
      <c r="B102" s="163">
        <v>46066.75</v>
      </c>
      <c r="C102" s="163">
        <v>46066.755555555559</v>
      </c>
      <c r="D102" s="136" t="s">
        <v>259</v>
      </c>
      <c r="E102" s="140" t="s">
        <v>149</v>
      </c>
      <c r="F102" s="280" t="s">
        <v>150</v>
      </c>
      <c r="G102" s="280"/>
      <c r="H102" s="144" t="s">
        <v>168</v>
      </c>
      <c r="I102" s="140" t="s">
        <v>259</v>
      </c>
      <c r="J102" s="140" t="s">
        <v>26</v>
      </c>
      <c r="K102" s="135" t="str">
        <f>LEFT(Table_2[[#This Row],[Flt. ID]],2)&amp;RIGHT(Table_2[[#This Row],[Flt. ID]],3)</f>
        <v>UO643</v>
      </c>
      <c r="L102" s="131" t="str">
        <f>"H"&amp;ROW(Table_2[[#This Row],[A/C]])+1&amp;":H300"</f>
        <v>H103:H300</v>
      </c>
      <c r="M102" s="164">
        <f>IFERROR(
    IF(Table_2[[#This Row],[Arr/ Dep]]="A",
        IF(
            INDEX(B103:B347,MATCH(Table_2[[#This Row],[A/C]],H103:H347,0))
            - IF(Table_2[[#This Row],[ETA/ETD]]="",Table_2[[#This Row],[STA/STD]],Table_2[[#This Row],[ETA/ETD]]) &lt; 0,
            "ASAP",
            IF(Table_2[[#This Row],[ETA/ETD]]="",
                INDEX(B103:B347,MATCH(Table_2[[#This Row],[A/C]],H103:H347,0))-Table_2[[#This Row],[STA/STD]],
                INDEX(B103:B347,MATCH(Table_2[[#This Row],[A/C]],H103:H347,0))-Table_2[[#This Row],[ETA/ETD]])
        ),
        ""
    ),
"TBC")</f>
        <v>9.5138888886140194E-2</v>
      </c>
      <c r="N102" s="140" t="str" cm="1">
        <f t="array" ref="N10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2" s="135" t="str">
        <f>Table_2[[#This Row],[A/C]]&amp;Table_2[[#This Row],[Column2]]</f>
        <v>BLCMUO643</v>
      </c>
      <c r="Q10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2" s="166" t="str">
        <f>IFERROR(Table_2[[#This Row],[UTC TIME]]-TIME(1,30,0),"")</f>
        <v/>
      </c>
      <c r="S102" s="167" t="s">
        <v>1121</v>
      </c>
      <c r="T102" s="186" t="s">
        <v>1028</v>
      </c>
      <c r="U102" s="127"/>
      <c r="V102" s="127"/>
      <c r="W102" s="127"/>
      <c r="X102" s="127"/>
      <c r="Y102" s="127"/>
    </row>
    <row r="103" spans="1:25">
      <c r="A103" s="140" t="s">
        <v>245</v>
      </c>
      <c r="B103" s="163">
        <v>46066.75</v>
      </c>
      <c r="C103" s="163">
        <v>46066.728472222225</v>
      </c>
      <c r="D103" s="136" t="s">
        <v>259</v>
      </c>
      <c r="E103" s="140" t="s">
        <v>22</v>
      </c>
      <c r="F103" s="280" t="s">
        <v>23</v>
      </c>
      <c r="G103" s="280"/>
      <c r="H103" s="144" t="s">
        <v>153</v>
      </c>
      <c r="I103" s="140" t="s">
        <v>31</v>
      </c>
      <c r="J103" s="140" t="s">
        <v>26</v>
      </c>
      <c r="K103" s="135" t="str">
        <f>LEFT(Table_2[[#This Row],[Flt. ID]],2)&amp;RIGHT(Table_2[[#This Row],[Flt. ID]],3)</f>
        <v>UO687</v>
      </c>
      <c r="L103" s="131" t="str">
        <f>"H"&amp;ROW(Table_2[[#This Row],[A/C]])+1&amp;":H300"</f>
        <v>H104:H300</v>
      </c>
      <c r="M103" s="164">
        <f>IFERROR(
    IF(Table_2[[#This Row],[Arr/ Dep]]="A",
        IF(
            INDEX(B104:B348,MATCH(Table_2[[#This Row],[A/C]],H104:H348,0))
            - IF(Table_2[[#This Row],[ETA/ETD]]="",Table_2[[#This Row],[STA/STD]],Table_2[[#This Row],[ETA/ETD]]) &lt; 0,
            "ASAP",
            IF(Table_2[[#This Row],[ETA/ETD]]="",
                INDEX(B104:B348,MATCH(Table_2[[#This Row],[A/C]],H104:H348,0))-Table_2[[#This Row],[STA/STD]],
                INDEX(B104:B348,MATCH(Table_2[[#This Row],[A/C]],H104:H348,0))-Table_2[[#This Row],[ETA/ETD]])
        ),
        ""
    ),
"TBC")</f>
        <v>5.6249999994179234E-2</v>
      </c>
      <c r="N103" s="140" t="str" cm="1">
        <f t="array" ref="N10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3" s="135" t="str">
        <f>Table_2[[#This Row],[A/C]]&amp;Table_2[[#This Row],[Column2]]</f>
        <v>BKKMUO687</v>
      </c>
      <c r="Q10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3" s="166" t="str">
        <f>IFERROR(Table_2[[#This Row],[UTC TIME]]-TIME(1,30,0),"")</f>
        <v/>
      </c>
      <c r="S103" s="167" t="s">
        <v>1123</v>
      </c>
      <c r="T103" s="186" t="s">
        <v>1026</v>
      </c>
      <c r="U103" s="127"/>
      <c r="V103" s="127"/>
      <c r="W103" s="127"/>
      <c r="X103" s="127"/>
      <c r="Y103" s="127"/>
    </row>
    <row r="104" spans="1:25">
      <c r="A104" s="140" t="s">
        <v>326</v>
      </c>
      <c r="B104" s="163">
        <v>46066.75</v>
      </c>
      <c r="C104" s="163">
        <v>46066.761111111111</v>
      </c>
      <c r="D104" s="136" t="s">
        <v>259</v>
      </c>
      <c r="E104" s="140" t="s">
        <v>310</v>
      </c>
      <c r="F104" s="280" t="s">
        <v>311</v>
      </c>
      <c r="G104" s="280"/>
      <c r="H104" s="144" t="s">
        <v>151</v>
      </c>
      <c r="I104" s="140" t="s">
        <v>259</v>
      </c>
      <c r="J104" s="140" t="s">
        <v>26</v>
      </c>
      <c r="K104" s="135" t="str">
        <f>LEFT(Table_2[[#This Row],[Flt. ID]],2)&amp;RIGHT(Table_2[[#This Row],[Flt. ID]],3)</f>
        <v>UO823</v>
      </c>
      <c r="L104" s="131" t="str">
        <f>"H"&amp;ROW(Table_2[[#This Row],[A/C]])+1&amp;":H300"</f>
        <v>H105:H300</v>
      </c>
      <c r="M104" s="164" t="str">
        <f>IFERROR(
    IF(Table_2[[#This Row],[Arr/ Dep]]="A",
        IF(
            INDEX(B105:B349,MATCH(Table_2[[#This Row],[A/C]],H105:H349,0))
            - IF(Table_2[[#This Row],[ETA/ETD]]="",Table_2[[#This Row],[STA/STD]],Table_2[[#This Row],[ETA/ETD]]) &lt; 0,
            "ASAP",
            IF(Table_2[[#This Row],[ETA/ETD]]="",
                INDEX(B105:B349,MATCH(Table_2[[#This Row],[A/C]],H105:H349,0))-Table_2[[#This Row],[STA/STD]],
                INDEX(B105:B349,MATCH(Table_2[[#This Row],[A/C]],H105:H349,0))-Table_2[[#This Row],[ETA/ETD]])
        ),
        ""
    ),
"TBC")</f>
        <v>TBC</v>
      </c>
      <c r="N104" s="140" t="str" cm="1">
        <f t="array" ref="N10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4" s="135" t="str">
        <f>Table_2[[#This Row],[A/C]]&amp;Table_2[[#This Row],[Column2]]</f>
        <v>BLCLUO823</v>
      </c>
      <c r="Q10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4" s="166" t="str">
        <f>IFERROR(Table_2[[#This Row],[UTC TIME]]-TIME(1,30,0),"")</f>
        <v/>
      </c>
      <c r="S104" s="167" t="s">
        <v>484</v>
      </c>
      <c r="T104" s="186" t="s">
        <v>1024</v>
      </c>
      <c r="U104" s="127"/>
      <c r="V104" s="127"/>
      <c r="W104" s="127"/>
      <c r="X104" s="127"/>
      <c r="Y104" s="127"/>
    </row>
    <row r="105" spans="1:25">
      <c r="A105" s="140" t="s">
        <v>249</v>
      </c>
      <c r="B105" s="163">
        <v>46066.760416666664</v>
      </c>
      <c r="C105" s="163"/>
      <c r="D105" s="136" t="s">
        <v>259</v>
      </c>
      <c r="E105" s="140" t="s">
        <v>111</v>
      </c>
      <c r="F105" s="280" t="s">
        <v>112</v>
      </c>
      <c r="G105" s="280"/>
      <c r="H105" s="144" t="s">
        <v>113</v>
      </c>
      <c r="I105" s="140" t="s">
        <v>176</v>
      </c>
      <c r="J105" s="140" t="s">
        <v>42</v>
      </c>
      <c r="K105" s="135" t="str">
        <f>LEFT(Table_2[[#This Row],[Flt. ID]],2)&amp;RIGHT(Table_2[[#This Row],[Flt. ID]],3)</f>
        <v>UO182</v>
      </c>
      <c r="L105" s="131" t="str">
        <f>"H"&amp;ROW(Table_2[[#This Row],[A/C]])+1&amp;":H300"</f>
        <v>H106:H300</v>
      </c>
      <c r="M105" s="164" t="str">
        <f>IFERROR(
    IF(Table_2[[#This Row],[Arr/ Dep]]="A",
        IF(
            INDEX(B106:B350,MATCH(Table_2[[#This Row],[A/C]],H106:H350,0))
            - IF(Table_2[[#This Row],[ETA/ETD]]="",Table_2[[#This Row],[STA/STD]],Table_2[[#This Row],[ETA/ETD]]) &lt; 0,
            "ASAP",
            IF(Table_2[[#This Row],[ETA/ETD]]="",
                INDEX(B106:B350,MATCH(Table_2[[#This Row],[A/C]],H106:H350,0))-Table_2[[#This Row],[STA/STD]],
                INDEX(B106:B350,MATCH(Table_2[[#This Row],[A/C]],H106:H350,0))-Table_2[[#This Row],[ETA/ETD]])
        ),
        ""
    ),
"TBC")</f>
        <v/>
      </c>
      <c r="N105" s="140" t="str" cm="1">
        <f t="array" ref="N10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5" s="135" t="str">
        <f>Table_2[[#This Row],[A/C]]&amp;Table_2[[#This Row],[Column2]]</f>
        <v>BKKIUO182</v>
      </c>
      <c r="Q10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5" s="166" t="str">
        <f>IFERROR(Table_2[[#This Row],[UTC TIME]]-TIME(1,30,0),"")</f>
        <v/>
      </c>
      <c r="S105" s="167" t="s">
        <v>1123</v>
      </c>
      <c r="T105" s="186" t="s">
        <v>1026</v>
      </c>
      <c r="U105" s="127"/>
      <c r="V105" s="127"/>
      <c r="W105" s="127"/>
      <c r="X105" s="127"/>
      <c r="Y105" s="127"/>
    </row>
    <row r="106" spans="1:25">
      <c r="A106" s="140" t="s">
        <v>252</v>
      </c>
      <c r="B106" s="163">
        <v>46066.784722222219</v>
      </c>
      <c r="C106" s="163"/>
      <c r="D106" s="136" t="s">
        <v>259</v>
      </c>
      <c r="E106" s="140" t="s">
        <v>182</v>
      </c>
      <c r="F106" s="280" t="s">
        <v>183</v>
      </c>
      <c r="G106" s="280"/>
      <c r="H106" s="144" t="s">
        <v>153</v>
      </c>
      <c r="I106" s="140" t="s">
        <v>31</v>
      </c>
      <c r="J106" s="140" t="s">
        <v>42</v>
      </c>
      <c r="K106" s="135" t="str">
        <f>LEFT(Table_2[[#This Row],[Flt. ID]],2)&amp;RIGHT(Table_2[[#This Row],[Flt. ID]],3)</f>
        <v>UO116</v>
      </c>
      <c r="L106" s="131" t="str">
        <f>"H"&amp;ROW(Table_2[[#This Row],[A/C]])+1&amp;":H300"</f>
        <v>H107:H300</v>
      </c>
      <c r="M106" s="164" t="str">
        <f>IFERROR(
    IF(Table_2[[#This Row],[Arr/ Dep]]="A",
        IF(
            INDEX(B107:B351,MATCH(Table_2[[#This Row],[A/C]],H107:H351,0))
            - IF(Table_2[[#This Row],[ETA/ETD]]="",Table_2[[#This Row],[STA/STD]],Table_2[[#This Row],[ETA/ETD]]) &lt; 0,
            "ASAP",
            IF(Table_2[[#This Row],[ETA/ETD]]="",
                INDEX(B107:B351,MATCH(Table_2[[#This Row],[A/C]],H107:H351,0))-Table_2[[#This Row],[STA/STD]],
                INDEX(B107:B351,MATCH(Table_2[[#This Row],[A/C]],H107:H351,0))-Table_2[[#This Row],[ETA/ETD]])
        ),
        ""
    ),
"TBC")</f>
        <v/>
      </c>
      <c r="N106" s="140" t="str" cm="1">
        <f t="array" ref="N10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6" s="135" t="str">
        <f>Table_2[[#This Row],[A/C]]&amp;Table_2[[#This Row],[Column2]]</f>
        <v>BKKMUO116</v>
      </c>
      <c r="Q10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6" s="166" t="str">
        <f>IFERROR(Table_2[[#This Row],[UTC TIME]]-TIME(1,30,0),"")</f>
        <v/>
      </c>
      <c r="S106" s="167" t="s">
        <v>1123</v>
      </c>
      <c r="T106" s="186" t="s">
        <v>1026</v>
      </c>
      <c r="U106" s="174"/>
      <c r="V106" s="127"/>
      <c r="W106" s="127"/>
      <c r="X106" s="127"/>
      <c r="Y106" s="127"/>
    </row>
    <row r="107" spans="1:25">
      <c r="A107" s="140" t="s">
        <v>327</v>
      </c>
      <c r="B107" s="163">
        <v>46066.784722222219</v>
      </c>
      <c r="C107" s="163"/>
      <c r="D107" s="136" t="s">
        <v>259</v>
      </c>
      <c r="E107" s="140" t="s">
        <v>133</v>
      </c>
      <c r="F107" s="280" t="s">
        <v>134</v>
      </c>
      <c r="G107" s="280"/>
      <c r="H107" s="144" t="s">
        <v>138</v>
      </c>
      <c r="I107" s="140" t="s">
        <v>209</v>
      </c>
      <c r="J107" s="140" t="s">
        <v>42</v>
      </c>
      <c r="K107" s="135" t="str">
        <f>LEFT(Table_2[[#This Row],[Flt. ID]],2)&amp;RIGHT(Table_2[[#This Row],[Flt. ID]],3)</f>
        <v>UO124</v>
      </c>
      <c r="L107" s="131" t="str">
        <f>"H"&amp;ROW(Table_2[[#This Row],[A/C]])+1&amp;":H300"</f>
        <v>H108:H300</v>
      </c>
      <c r="M107" s="164" t="str">
        <f>IFERROR(
    IF(Table_2[[#This Row],[Arr/ Dep]]="A",
        IF(
            INDEX(B108:B352,MATCH(Table_2[[#This Row],[A/C]],H108:H352,0))
            - IF(Table_2[[#This Row],[ETA/ETD]]="",Table_2[[#This Row],[STA/STD]],Table_2[[#This Row],[ETA/ETD]]) &lt; 0,
            "ASAP",
            IF(Table_2[[#This Row],[ETA/ETD]]="",
                INDEX(B108:B352,MATCH(Table_2[[#This Row],[A/C]],H108:H352,0))-Table_2[[#This Row],[STA/STD]],
                INDEX(B108:B352,MATCH(Table_2[[#This Row],[A/C]],H108:H352,0))-Table_2[[#This Row],[ETA/ETD]])
        ),
        ""
    ),
"TBC")</f>
        <v/>
      </c>
      <c r="N107" s="140" t="str" cm="1">
        <f t="array" ref="N10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7" s="135" t="str">
        <f>Table_2[[#This Row],[A/C]]&amp;Table_2[[#This Row],[Column2]]</f>
        <v>BLCJUO124</v>
      </c>
      <c r="Q10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7" s="166" t="str">
        <f>IFERROR(Table_2[[#This Row],[UTC TIME]]-TIME(1,30,0),"")</f>
        <v/>
      </c>
      <c r="S107" s="167" t="s">
        <v>474</v>
      </c>
      <c r="T107" s="187" t="s">
        <v>322</v>
      </c>
      <c r="U107" s="174"/>
      <c r="V107" s="127"/>
      <c r="W107" s="127"/>
      <c r="X107" s="127"/>
      <c r="Y107" s="127"/>
    </row>
    <row r="108" spans="1:25">
      <c r="A108" s="140" t="s">
        <v>253</v>
      </c>
      <c r="B108" s="163">
        <v>46066.791666666664</v>
      </c>
      <c r="C108" s="163">
        <v>46066.775694444441</v>
      </c>
      <c r="D108" s="136" t="s">
        <v>259</v>
      </c>
      <c r="E108" s="140" t="s">
        <v>38</v>
      </c>
      <c r="F108" s="280" t="s">
        <v>39</v>
      </c>
      <c r="G108" s="280"/>
      <c r="H108" s="144" t="s">
        <v>77</v>
      </c>
      <c r="I108" s="140" t="s">
        <v>259</v>
      </c>
      <c r="J108" s="140" t="s">
        <v>26</v>
      </c>
      <c r="K108" s="135" t="str">
        <f>LEFT(Table_2[[#This Row],[Flt. ID]],2)&amp;RIGHT(Table_2[[#This Row],[Flt. ID]],3)</f>
        <v>UO631</v>
      </c>
      <c r="L108" s="131" t="str">
        <f>"H"&amp;ROW(Table_2[[#This Row],[A/C]])+1&amp;":H300"</f>
        <v>H109:H300</v>
      </c>
      <c r="M108" s="164">
        <f>IFERROR(
    IF(Table_2[[#This Row],[Arr/ Dep]]="A",
        IF(
            INDEX(B109:B353,MATCH(Table_2[[#This Row],[A/C]],H109:H353,0))
            - IF(Table_2[[#This Row],[ETA/ETD]]="",Table_2[[#This Row],[STA/STD]],Table_2[[#This Row],[ETA/ETD]]) &lt; 0,
            "ASAP",
            IF(Table_2[[#This Row],[ETA/ETD]]="",
                INDEX(B109:B353,MATCH(Table_2[[#This Row],[A/C]],H109:H353,0))-Table_2[[#This Row],[STA/STD]],
                INDEX(B109:B353,MATCH(Table_2[[#This Row],[A/C]],H109:H353,0))-Table_2[[#This Row],[ETA/ETD]])
        ),
        ""
    ),
"TBC")</f>
        <v>5.4166666668606922E-2</v>
      </c>
      <c r="N108" s="140" t="str" cm="1">
        <f t="array" ref="N10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8" s="135" t="str">
        <f>Table_2[[#This Row],[A/C]]&amp;Table_2[[#This Row],[Column2]]</f>
        <v>BKKHUO631</v>
      </c>
      <c r="Q10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8" s="166" t="str">
        <f>IFERROR(Table_2[[#This Row],[UTC TIME]]-TIME(1,30,0),"")</f>
        <v/>
      </c>
      <c r="S108" s="167" t="s">
        <v>1121</v>
      </c>
      <c r="T108" s="186" t="s">
        <v>1028</v>
      </c>
      <c r="U108" s="127"/>
      <c r="V108" s="127"/>
      <c r="W108" s="127"/>
      <c r="X108" s="127"/>
      <c r="Y108" s="127"/>
    </row>
    <row r="109" spans="1:25" hidden="1">
      <c r="A109" s="140" t="s">
        <v>254</v>
      </c>
      <c r="B109" s="163">
        <v>46066.791666666664</v>
      </c>
      <c r="C109" s="163">
        <v>46066.833333333336</v>
      </c>
      <c r="D109" s="136" t="s">
        <v>259</v>
      </c>
      <c r="E109" s="140" t="s">
        <v>22</v>
      </c>
      <c r="F109" s="280" t="s">
        <v>23</v>
      </c>
      <c r="G109" s="280"/>
      <c r="H109" s="144" t="s">
        <v>52</v>
      </c>
      <c r="I109" s="140" t="s">
        <v>259</v>
      </c>
      <c r="J109" s="140" t="s">
        <v>26</v>
      </c>
      <c r="K109" s="135" t="str">
        <f>LEFT(Table_2[[#This Row],[Flt. ID]],2)&amp;RIGHT(Table_2[[#This Row],[Flt. ID]],3)</f>
        <v>UO851</v>
      </c>
      <c r="L109" s="131" t="str">
        <f>"H"&amp;ROW(Table_2[[#This Row],[A/C]])+1&amp;":H300"</f>
        <v>H110:H300</v>
      </c>
      <c r="M109" s="164">
        <f>IFERROR(
    IF(Table_2[[#This Row],[Arr/ Dep]]="A",
        IF(
            INDEX(B110:B354,MATCH(Table_2[[#This Row],[A/C]],H110:H354,0))
            - IF(Table_2[[#This Row],[ETA/ETD]]="",Table_2[[#This Row],[STA/STD]],Table_2[[#This Row],[ETA/ETD]]) &lt; 0,
            "ASAP",
            IF(Table_2[[#This Row],[ETA/ETD]]="",
                INDEX(B110:B354,MATCH(Table_2[[#This Row],[A/C]],H110:H354,0))-Table_2[[#This Row],[STA/STD]],
                INDEX(B110:B354,MATCH(Table_2[[#This Row],[A/C]],H110:H354,0))-Table_2[[#This Row],[ETA/ETD]])
        ),
        ""
    ),
"TBC")</f>
        <v>5.9027777773735579E-2</v>
      </c>
      <c r="N109" s="140" t="str" cm="1">
        <f t="array" ref="N10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0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09" s="135" t="str">
        <f>Table_2[[#This Row],[A/C]]&amp;Table_2[[#This Row],[Column2]]</f>
        <v>BLEFUO851</v>
      </c>
      <c r="Q10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09" s="166" t="str">
        <f>IFERROR(Table_2[[#This Row],[UTC TIME]]-TIME(1,30,0),"")</f>
        <v/>
      </c>
      <c r="S109" s="167"/>
      <c r="T109" s="186"/>
      <c r="U109" s="127"/>
      <c r="V109" s="127"/>
      <c r="W109" s="127"/>
      <c r="X109" s="127"/>
      <c r="Y109" s="127"/>
    </row>
    <row r="110" spans="1:25" hidden="1">
      <c r="A110" s="140" t="s">
        <v>255</v>
      </c>
      <c r="B110" s="163">
        <v>46066.795138888891</v>
      </c>
      <c r="C110" s="163"/>
      <c r="D110" s="136" t="s">
        <v>259</v>
      </c>
      <c r="E110" s="140" t="s">
        <v>122</v>
      </c>
      <c r="F110" s="280" t="s">
        <v>123</v>
      </c>
      <c r="G110" s="280"/>
      <c r="H110" s="144" t="s">
        <v>184</v>
      </c>
      <c r="I110" s="140" t="s">
        <v>259</v>
      </c>
      <c r="J110" s="140" t="s">
        <v>26</v>
      </c>
      <c r="K110" s="135" t="str">
        <f>LEFT(Table_2[[#This Row],[Flt. ID]],2)&amp;RIGHT(Table_2[[#This Row],[Flt. ID]],3)</f>
        <v>UO669</v>
      </c>
      <c r="L110" s="131" t="str">
        <f>"H"&amp;ROW(Table_2[[#This Row],[A/C]])+1&amp;":H300"</f>
        <v>H111:H300</v>
      </c>
      <c r="M110" s="164">
        <f>IFERROR(
    IF(Table_2[[#This Row],[Arr/ Dep]]="A",
        IF(
            INDEX(B111:B355,MATCH(Table_2[[#This Row],[A/C]],H111:H355,0))
            - IF(Table_2[[#This Row],[ETA/ETD]]="",Table_2[[#This Row],[STA/STD]],Table_2[[#This Row],[ETA/ETD]]) &lt; 0,
            "ASAP",
            IF(Table_2[[#This Row],[ETA/ETD]]="",
                INDEX(B111:B355,MATCH(Table_2[[#This Row],[A/C]],H111:H355,0))-Table_2[[#This Row],[STA/STD]],
                INDEX(B111:B355,MATCH(Table_2[[#This Row],[A/C]],H111:H355,0))-Table_2[[#This Row],[ETA/ETD]])
        ),
        ""
    ),
"TBC")</f>
        <v>4.1666666664241347E-2</v>
      </c>
      <c r="N110" s="140" t="str" cm="1">
        <f t="array" ref="N11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0" s="154" t="str">
        <f>Table_2[[#This Row],[A/C]]&amp;Table_2[[#This Row],[Column2]]</f>
        <v>BLELUO669</v>
      </c>
      <c r="Q11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0" s="166" t="str">
        <f>IFERROR(Table_2[[#This Row],[UTC TIME]]-TIME(1,30,0),"")</f>
        <v/>
      </c>
      <c r="S110" s="167"/>
      <c r="T110" s="186"/>
      <c r="U110" s="127"/>
      <c r="V110" s="127"/>
      <c r="W110" s="127"/>
      <c r="X110" s="127"/>
      <c r="Y110" s="127"/>
    </row>
    <row r="111" spans="1:25">
      <c r="A111" s="140" t="s">
        <v>256</v>
      </c>
      <c r="B111" s="163">
        <v>46066.802083333336</v>
      </c>
      <c r="C111" s="163">
        <v>46066.850694444445</v>
      </c>
      <c r="D111" s="136" t="s">
        <v>259</v>
      </c>
      <c r="E111" s="140" t="s">
        <v>33</v>
      </c>
      <c r="F111" s="280" t="s">
        <v>34</v>
      </c>
      <c r="G111" s="280"/>
      <c r="H111" s="144" t="s">
        <v>108</v>
      </c>
      <c r="I111" s="140" t="s">
        <v>259</v>
      </c>
      <c r="J111" s="140" t="s">
        <v>26</v>
      </c>
      <c r="K111" s="135" t="str">
        <f>LEFT(Table_2[[#This Row],[Flt. ID]],2)&amp;RIGHT(Table_2[[#This Row],[Flt. ID]],3)</f>
        <v>UO681</v>
      </c>
      <c r="L111" s="131" t="str">
        <f>"H"&amp;ROW(Table_2[[#This Row],[A/C]])+1&amp;":H300"</f>
        <v>H112:H300</v>
      </c>
      <c r="M111" s="164">
        <f>IFERROR(
    IF(Table_2[[#This Row],[Arr/ Dep]]="A",
        IF(
            INDEX(B112:B356,MATCH(Table_2[[#This Row],[A/C]],H112:H356,0))
            - IF(Table_2[[#This Row],[ETA/ETD]]="",Table_2[[#This Row],[STA/STD]],Table_2[[#This Row],[ETA/ETD]]) &lt; 0,
            "ASAP",
            IF(Table_2[[#This Row],[ETA/ETD]]="",
                INDEX(B112:B356,MATCH(Table_2[[#This Row],[A/C]],H112:H356,0))-Table_2[[#This Row],[STA/STD]],
                INDEX(B112:B356,MATCH(Table_2[[#This Row],[A/C]],H112:H356,0))-Table_2[[#This Row],[ETA/ETD]])
        ),
        ""
    ),
"TBC")</f>
        <v>6.9444444452528842E-3</v>
      </c>
      <c r="N111" s="140" t="str" cm="1">
        <f t="array" ref="N11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1" s="135" t="str">
        <f>Table_2[[#This Row],[A/C]]&amp;Table_2[[#This Row],[Column2]]</f>
        <v>BKKAUO681</v>
      </c>
      <c r="Q11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1" s="166" t="str">
        <f>IFERROR(Table_2[[#This Row],[UTC TIME]]-TIME(1,30,0),"")</f>
        <v/>
      </c>
      <c r="S111" s="167" t="s">
        <v>1122</v>
      </c>
      <c r="T111" s="186" t="s">
        <v>1024</v>
      </c>
      <c r="U111" s="127"/>
      <c r="V111" s="127"/>
      <c r="W111" s="127"/>
      <c r="X111" s="127"/>
      <c r="Y111" s="127"/>
    </row>
    <row r="112" spans="1:25">
      <c r="A112" s="140" t="s">
        <v>328</v>
      </c>
      <c r="B112" s="163">
        <v>46066.8125</v>
      </c>
      <c r="C112" s="163">
        <v>46066.817361111112</v>
      </c>
      <c r="D112" s="136" t="s">
        <v>259</v>
      </c>
      <c r="E112" s="140" t="s">
        <v>307</v>
      </c>
      <c r="F112" s="280" t="s">
        <v>308</v>
      </c>
      <c r="G112" s="280"/>
      <c r="H112" s="144" t="s">
        <v>60</v>
      </c>
      <c r="I112" s="140" t="s">
        <v>259</v>
      </c>
      <c r="J112" s="140" t="s">
        <v>26</v>
      </c>
      <c r="K112" s="135" t="str">
        <f>LEFT(Table_2[[#This Row],[Flt. ID]],2)&amp;RIGHT(Table_2[[#This Row],[Flt. ID]],3)</f>
        <v>UO891</v>
      </c>
      <c r="L112" s="131" t="str">
        <f>"H"&amp;ROW(Table_2[[#This Row],[A/C]])+1&amp;":H300"</f>
        <v>H113:H300</v>
      </c>
      <c r="M112" s="164">
        <f>IFERROR(
    IF(Table_2[[#This Row],[Arr/ Dep]]="A",
        IF(
            INDEX(B113:B357,MATCH(Table_2[[#This Row],[A/C]],H113:H357,0))
            - IF(Table_2[[#This Row],[ETA/ETD]]="",Table_2[[#This Row],[STA/STD]],Table_2[[#This Row],[ETA/ETD]]) &lt; 0,
            "ASAP",
            IF(Table_2[[#This Row],[ETA/ETD]]="",
                INDEX(B113:B357,MATCH(Table_2[[#This Row],[A/C]],H113:H357,0))-Table_2[[#This Row],[STA/STD]],
                INDEX(B113:B357,MATCH(Table_2[[#This Row],[A/C]],H113:H357,0))-Table_2[[#This Row],[ETA/ETD]])
        ),
        ""
    ),
"TBC")</f>
        <v>2.9861111106583849E-2</v>
      </c>
      <c r="N112" s="140" t="str" cm="1">
        <f t="array" ref="N11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2" s="135" t="str">
        <f>Table_2[[#This Row],[A/C]]&amp;Table_2[[#This Row],[Column2]]</f>
        <v>BKKFUO891</v>
      </c>
      <c r="Q11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2" s="166" t="str">
        <f>IFERROR(Table_2[[#This Row],[UTC TIME]]-TIME(1,30,0),"")</f>
        <v/>
      </c>
      <c r="S112" s="167" t="s">
        <v>1123</v>
      </c>
      <c r="T112" s="186" t="s">
        <v>1026</v>
      </c>
      <c r="U112" s="127"/>
      <c r="V112" s="127"/>
      <c r="W112" s="127"/>
      <c r="X112" s="127"/>
      <c r="Y112" s="127"/>
    </row>
    <row r="113" spans="1:25" hidden="1">
      <c r="A113" s="140" t="s">
        <v>257</v>
      </c>
      <c r="B113" s="163">
        <v>46066.819444444445</v>
      </c>
      <c r="C113" s="163"/>
      <c r="D113" s="136" t="s">
        <v>259</v>
      </c>
      <c r="E113" s="140" t="s">
        <v>182</v>
      </c>
      <c r="F113" s="280" t="s">
        <v>183</v>
      </c>
      <c r="G113" s="280"/>
      <c r="H113" s="144" t="s">
        <v>130</v>
      </c>
      <c r="I113" s="140" t="s">
        <v>259</v>
      </c>
      <c r="J113" s="140" t="s">
        <v>26</v>
      </c>
      <c r="K113" s="135" t="str">
        <f>LEFT(Table_2[[#This Row],[Flt. ID]],2)&amp;RIGHT(Table_2[[#This Row],[Flt. ID]],3)</f>
        <v>UO115</v>
      </c>
      <c r="L113" s="131" t="str">
        <f>"H"&amp;ROW(Table_2[[#This Row],[A/C]])+1&amp;":H300"</f>
        <v>H114:H300</v>
      </c>
      <c r="M113" s="164">
        <f>IFERROR(
    IF(Table_2[[#This Row],[Arr/ Dep]]="A",
        IF(
            INDEX(B114:B358,MATCH(Table_2[[#This Row],[A/C]],H114:H358,0))
            - IF(Table_2[[#This Row],[ETA/ETD]]="",Table_2[[#This Row],[STA/STD]],Table_2[[#This Row],[ETA/ETD]]) &lt; 0,
            "ASAP",
            IF(Table_2[[#This Row],[ETA/ETD]]="",
                INDEX(B114:B358,MATCH(Table_2[[#This Row],[A/C]],H114:H358,0))-Table_2[[#This Row],[STA/STD]],
                INDEX(B114:B358,MATCH(Table_2[[#This Row],[A/C]],H114:H358,0))-Table_2[[#This Row],[ETA/ETD]])
        ),
        ""
    ),
"TBC")</f>
        <v>6.9444444452528842E-3</v>
      </c>
      <c r="N113" s="140" t="str" cm="1">
        <f t="array" ref="N11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3" s="135" t="str">
        <f>Table_2[[#This Row],[A/C]]&amp;Table_2[[#This Row],[Column2]]</f>
        <v>BHTHUO115</v>
      </c>
      <c r="Q11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3" s="166" t="str">
        <f>IFERROR(Table_2[[#This Row],[UTC TIME]]-TIME(1,30,0),"")</f>
        <v/>
      </c>
      <c r="S113" s="167"/>
      <c r="T113" s="186"/>
      <c r="U113" s="127"/>
      <c r="V113" s="127"/>
      <c r="W113" s="83"/>
      <c r="X113" s="83"/>
      <c r="Y113" s="83"/>
    </row>
    <row r="114" spans="1:25">
      <c r="A114" s="140" t="s">
        <v>329</v>
      </c>
      <c r="B114" s="163">
        <v>46066.822916666664</v>
      </c>
      <c r="C114" s="163"/>
      <c r="D114" s="136" t="s">
        <v>259</v>
      </c>
      <c r="E114" s="140" t="s">
        <v>38</v>
      </c>
      <c r="F114" s="280" t="s">
        <v>39</v>
      </c>
      <c r="G114" s="280"/>
      <c r="H114" s="144" t="s">
        <v>142</v>
      </c>
      <c r="I114" s="140" t="s">
        <v>259</v>
      </c>
      <c r="J114" s="140" t="s">
        <v>26</v>
      </c>
      <c r="K114" s="135" t="str">
        <f>LEFT(Table_2[[#This Row],[Flt. ID]],2)&amp;RIGHT(Table_2[[#This Row],[Flt. ID]],3)</f>
        <v>UO635</v>
      </c>
      <c r="L114" s="131" t="str">
        <f>"H"&amp;ROW(Table_2[[#This Row],[A/C]])+1&amp;":H300"</f>
        <v>H115:H300</v>
      </c>
      <c r="M114" s="164" t="str">
        <f>IFERROR(
    IF(Table_2[[#This Row],[Arr/ Dep]]="A",
        IF(
            INDEX(B115:B359,MATCH(Table_2[[#This Row],[A/C]],H115:H359,0))
            - IF(Table_2[[#This Row],[ETA/ETD]]="",Table_2[[#This Row],[STA/STD]],Table_2[[#This Row],[ETA/ETD]]) &lt; 0,
            "ASAP",
            IF(Table_2[[#This Row],[ETA/ETD]]="",
                INDEX(B115:B359,MATCH(Table_2[[#This Row],[A/C]],H115:H359,0))-Table_2[[#This Row],[STA/STD]],
                INDEX(B115:B359,MATCH(Table_2[[#This Row],[A/C]],H115:H359,0))-Table_2[[#This Row],[ETA/ETD]])
        ),
        ""
    ),
"TBC")</f>
        <v>TBC</v>
      </c>
      <c r="N114" s="140" t="str" cm="1">
        <f t="array" ref="N11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SCH,72H</v>
      </c>
      <c r="O11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4" s="135" t="str">
        <f>Table_2[[#This Row],[A/C]]&amp;Table_2[[#This Row],[Column2]]</f>
        <v>BLCNUO635</v>
      </c>
      <c r="Q11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4" s="166" t="str">
        <f>IFERROR(Table_2[[#This Row],[UTC TIME]]-TIME(1,30,0),"")</f>
        <v/>
      </c>
      <c r="S114" s="282"/>
      <c r="T114" s="282"/>
      <c r="U114" s="159"/>
      <c r="V114" s="83"/>
      <c r="W114" s="83"/>
      <c r="X114" s="83"/>
      <c r="Y114" s="83"/>
    </row>
    <row r="115" spans="1:25" hidden="1">
      <c r="A115" s="140" t="s">
        <v>258</v>
      </c>
      <c r="B115" s="163">
        <v>46066.826388888891</v>
      </c>
      <c r="C115" s="163"/>
      <c r="D115" s="136" t="s">
        <v>259</v>
      </c>
      <c r="E115" s="140" t="s">
        <v>178</v>
      </c>
      <c r="F115" s="280" t="s">
        <v>179</v>
      </c>
      <c r="G115" s="280"/>
      <c r="H115" s="144" t="s">
        <v>130</v>
      </c>
      <c r="I115" s="140" t="s">
        <v>259</v>
      </c>
      <c r="J115" s="140" t="s">
        <v>42</v>
      </c>
      <c r="K115" s="135" t="str">
        <f>LEFT(Table_2[[#This Row],[Flt. ID]],2)&amp;RIGHT(Table_2[[#This Row],[Flt. ID]],3)</f>
        <v>UO226</v>
      </c>
      <c r="L115" s="131" t="str">
        <f>"H"&amp;ROW(Table_2[[#This Row],[A/C]])+1&amp;":H300"</f>
        <v>H116:H300</v>
      </c>
      <c r="M115" s="164" t="str">
        <f>IFERROR(
    IF(Table_2[[#This Row],[Arr/ Dep]]="A",
        IF(
            INDEX(B116:B360,MATCH(Table_2[[#This Row],[A/C]],H116:H360,0))
            - IF(Table_2[[#This Row],[ETA/ETD]]="",Table_2[[#This Row],[STA/STD]],Table_2[[#This Row],[ETA/ETD]]) &lt; 0,
            "ASAP",
            IF(Table_2[[#This Row],[ETA/ETD]]="",
                INDEX(B116:B360,MATCH(Table_2[[#This Row],[A/C]],H116:H360,0))-Table_2[[#This Row],[STA/STD]],
                INDEX(B116:B360,MATCH(Table_2[[#This Row],[A/C]],H116:H360,0))-Table_2[[#This Row],[ETA/ETD]])
        ),
        ""
    ),
"TBC")</f>
        <v/>
      </c>
      <c r="N115" s="140" t="str" cm="1">
        <f t="array" ref="N11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5" s="135" t="str">
        <f>Table_2[[#This Row],[A/C]]&amp;Table_2[[#This Row],[Column2]]</f>
        <v>BHTHUO226</v>
      </c>
      <c r="Q11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5" s="166" t="str">
        <f>IFERROR(Table_2[[#This Row],[UTC TIME]]-TIME(1,30,0),"")</f>
        <v/>
      </c>
      <c r="S115" s="185"/>
      <c r="T115" s="185"/>
      <c r="U115" s="211"/>
      <c r="V115" s="127"/>
      <c r="W115" s="83"/>
      <c r="X115" s="83"/>
      <c r="Y115" s="83"/>
    </row>
    <row r="116" spans="1:25">
      <c r="A116" s="140" t="s">
        <v>260</v>
      </c>
      <c r="B116" s="163">
        <v>46066.829861111109</v>
      </c>
      <c r="C116" s="163"/>
      <c r="D116" s="136" t="s">
        <v>259</v>
      </c>
      <c r="E116" s="140" t="s">
        <v>66</v>
      </c>
      <c r="F116" s="280" t="s">
        <v>67</v>
      </c>
      <c r="G116" s="280"/>
      <c r="H116" s="144" t="s">
        <v>77</v>
      </c>
      <c r="I116" s="140" t="s">
        <v>259</v>
      </c>
      <c r="J116" s="140" t="s">
        <v>42</v>
      </c>
      <c r="K116" s="135" t="str">
        <f>LEFT(Table_2[[#This Row],[Flt. ID]],2)&amp;RIGHT(Table_2[[#This Row],[Flt. ID]],3)</f>
        <v>UO628</v>
      </c>
      <c r="L116" s="131" t="str">
        <f>"H"&amp;ROW(Table_2[[#This Row],[A/C]])+1&amp;":H300"</f>
        <v>H117:H300</v>
      </c>
      <c r="M116" s="164" t="str">
        <f>IFERROR(
    IF(Table_2[[#This Row],[Arr/ Dep]]="A",
        IF(
            INDEX(B117:B361,MATCH(Table_2[[#This Row],[A/C]],H117:H361,0))
            - IF(Table_2[[#This Row],[ETA/ETD]]="",Table_2[[#This Row],[STA/STD]],Table_2[[#This Row],[ETA/ETD]]) &lt; 0,
            "ASAP",
            IF(Table_2[[#This Row],[ETA/ETD]]="",
                INDEX(B117:B361,MATCH(Table_2[[#This Row],[A/C]],H117:H361,0))-Table_2[[#This Row],[STA/STD]],
                INDEX(B117:B361,MATCH(Table_2[[#This Row],[A/C]],H117:H361,0))-Table_2[[#This Row],[ETA/ETD]])
        ),
        ""
    ),
"TBC")</f>
        <v/>
      </c>
      <c r="N116" s="140" t="str" cm="1">
        <f t="array" ref="N11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6" s="135" t="str">
        <f>Table_2[[#This Row],[A/C]]&amp;Table_2[[#This Row],[Column2]]</f>
        <v>BKKHUO628</v>
      </c>
      <c r="Q11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6" s="166" t="str">
        <f>IFERROR(Table_2[[#This Row],[UTC TIME]]-TIME(1,30,0),"")</f>
        <v/>
      </c>
      <c r="S116" s="185" t="s">
        <v>1121</v>
      </c>
      <c r="T116" s="185" t="s">
        <v>1028</v>
      </c>
      <c r="U116" s="211"/>
      <c r="V116" s="127"/>
      <c r="W116" s="83"/>
      <c r="X116" s="83"/>
      <c r="Y116" s="83"/>
    </row>
    <row r="117" spans="1:25">
      <c r="A117" s="140" t="s">
        <v>261</v>
      </c>
      <c r="B117" s="163">
        <v>46066.833333333336</v>
      </c>
      <c r="C117" s="163">
        <v>46066.854166666664</v>
      </c>
      <c r="D117" s="136" t="s">
        <v>259</v>
      </c>
      <c r="E117" s="140" t="s">
        <v>28</v>
      </c>
      <c r="F117" s="280" t="s">
        <v>29</v>
      </c>
      <c r="G117" s="280"/>
      <c r="H117" s="144" t="s">
        <v>68</v>
      </c>
      <c r="I117" s="140" t="s">
        <v>259</v>
      </c>
      <c r="J117" s="140" t="s">
        <v>26</v>
      </c>
      <c r="K117" s="135" t="str">
        <f>LEFT(Table_2[[#This Row],[Flt. ID]],2)&amp;RIGHT(Table_2[[#This Row],[Flt. ID]],3)</f>
        <v>UO849</v>
      </c>
      <c r="L117" s="131" t="str">
        <f>"H"&amp;ROW(Table_2[[#This Row],[A/C]])+1&amp;":H300"</f>
        <v>H118:H300</v>
      </c>
      <c r="M117" s="164">
        <f>IFERROR(
    IF(Table_2[[#This Row],[Arr/ Dep]]="A",
        IF(
            INDEX(B118:B362,MATCH(Table_2[[#This Row],[A/C]],H118:H362,0))
            - IF(Table_2[[#This Row],[ETA/ETD]]="",Table_2[[#This Row],[STA/STD]],Table_2[[#This Row],[ETA/ETD]]) &lt; 0,
            "ASAP",
            IF(Table_2[[#This Row],[ETA/ETD]]="",
                INDEX(B118:B362,MATCH(Table_2[[#This Row],[A/C]],H118:H362,0))-Table_2[[#This Row],[STA/STD]],
                INDEX(B118:B362,MATCH(Table_2[[#This Row],[A/C]],H118:H362,0))-Table_2[[#This Row],[ETA/ETD]])
        ),
        ""
    ),
"TBC")</f>
        <v>2.4305555554747116E-2</v>
      </c>
      <c r="N117" s="140" t="str" cm="1">
        <f t="array" ref="N11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7" s="135" t="str">
        <f>Table_2[[#This Row],[A/C]]&amp;Table_2[[#This Row],[Column2]]</f>
        <v>BKKDUO849</v>
      </c>
      <c r="Q11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7" s="166" t="str">
        <f>IFERROR(Table_2[[#This Row],[UTC TIME]]-TIME(1,30,0),"")</f>
        <v/>
      </c>
      <c r="S117" s="282"/>
      <c r="T117" s="283"/>
      <c r="U117" s="159"/>
      <c r="V117" s="83"/>
      <c r="W117" s="83"/>
      <c r="X117" s="83"/>
      <c r="Y117" s="83"/>
    </row>
    <row r="118" spans="1:25" hidden="1">
      <c r="A118" s="140" t="s">
        <v>330</v>
      </c>
      <c r="B118" s="163">
        <v>46066.836805555555</v>
      </c>
      <c r="C118" s="163"/>
      <c r="D118" s="136" t="s">
        <v>259</v>
      </c>
      <c r="E118" s="140" t="s">
        <v>116</v>
      </c>
      <c r="F118" s="280" t="s">
        <v>117</v>
      </c>
      <c r="G118" s="280"/>
      <c r="H118" s="144" t="s">
        <v>184</v>
      </c>
      <c r="I118" s="140" t="s">
        <v>259</v>
      </c>
      <c r="J118" s="140" t="s">
        <v>42</v>
      </c>
      <c r="K118" s="135" t="str">
        <f>LEFT(Table_2[[#This Row],[Flt. ID]],2)&amp;RIGHT(Table_2[[#This Row],[Flt. ID]],3)</f>
        <v>UO542</v>
      </c>
      <c r="L118" s="131" t="str">
        <f>"H"&amp;ROW(Table_2[[#This Row],[A/C]])+1&amp;":H300"</f>
        <v>H119:H300</v>
      </c>
      <c r="M118" s="164" t="str">
        <f>IFERROR(
    IF(Table_2[[#This Row],[Arr/ Dep]]="A",
        IF(
            INDEX(B119:B363,MATCH(Table_2[[#This Row],[A/C]],H119:H363,0))
            - IF(Table_2[[#This Row],[ETA/ETD]]="",Table_2[[#This Row],[STA/STD]],Table_2[[#This Row],[ETA/ETD]]) &lt; 0,
            "ASAP",
            IF(Table_2[[#This Row],[ETA/ETD]]="",
                INDEX(B119:B363,MATCH(Table_2[[#This Row],[A/C]],H119:H363,0))-Table_2[[#This Row],[STA/STD]],
                INDEX(B119:B363,MATCH(Table_2[[#This Row],[A/C]],H119:H363,0))-Table_2[[#This Row],[ETA/ETD]])
        ),
        ""
    ),
"TBC")</f>
        <v/>
      </c>
      <c r="N118" s="140" t="str" cm="1">
        <f t="array" ref="N11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8" s="135" t="str">
        <f>Table_2[[#This Row],[A/C]]&amp;Table_2[[#This Row],[Column2]]</f>
        <v>BLELUO542</v>
      </c>
      <c r="Q11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8" s="166" t="str">
        <f>IFERROR(Table_2[[#This Row],[UTC TIME]]-TIME(1,30,0),"")</f>
        <v/>
      </c>
      <c r="S118" s="185"/>
      <c r="T118" s="220" t="s">
        <v>1024</v>
      </c>
      <c r="U118" s="159"/>
      <c r="V118" s="83"/>
      <c r="W118" s="83"/>
      <c r="X118" s="83"/>
      <c r="Y118" s="83"/>
    </row>
    <row r="119" spans="1:25">
      <c r="A119" s="140" t="s">
        <v>264</v>
      </c>
      <c r="B119" s="163">
        <v>46066.847222222219</v>
      </c>
      <c r="C119" s="163"/>
      <c r="D119" s="136" t="s">
        <v>259</v>
      </c>
      <c r="E119" s="140" t="s">
        <v>125</v>
      </c>
      <c r="F119" s="280" t="s">
        <v>126</v>
      </c>
      <c r="G119" s="280"/>
      <c r="H119" s="144" t="s">
        <v>180</v>
      </c>
      <c r="I119" s="140" t="s">
        <v>259</v>
      </c>
      <c r="J119" s="140" t="s">
        <v>26</v>
      </c>
      <c r="K119" s="135" t="str">
        <f>LEFT(Table_2[[#This Row],[Flt. ID]],2)&amp;RIGHT(Table_2[[#This Row],[Flt. ID]],3)</f>
        <v>UO701</v>
      </c>
      <c r="L119" s="131" t="str">
        <f>"H"&amp;ROW(Table_2[[#This Row],[A/C]])+1&amp;":H300"</f>
        <v>H120:H300</v>
      </c>
      <c r="M119" s="164" t="str">
        <f>IFERROR(
    IF(Table_2[[#This Row],[Arr/ Dep]]="A",
        IF(
            INDEX(B120:B364,MATCH(Table_2[[#This Row],[A/C]],H120:H364,0))
            - IF(Table_2[[#This Row],[ETA/ETD]]="",Table_2[[#This Row],[STA/STD]],Table_2[[#This Row],[ETA/ETD]]) &lt; 0,
            "ASAP",
            IF(Table_2[[#This Row],[ETA/ETD]]="",
                INDEX(B120:B364,MATCH(Table_2[[#This Row],[A/C]],H120:H364,0))-Table_2[[#This Row],[STA/STD]],
                INDEX(B120:B364,MATCH(Table_2[[#This Row],[A/C]],H120:H364,0))-Table_2[[#This Row],[ETA/ETD]])
        ),
        ""
    ),
"TBC")</f>
        <v>TBC</v>
      </c>
      <c r="N119" s="140" t="str" cm="1">
        <f t="array" ref="N11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1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19" s="135" t="str">
        <f>Table_2[[#This Row],[A/C]]&amp;Table_2[[#This Row],[Column2]]</f>
        <v>BLEJUO701</v>
      </c>
      <c r="Q11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19" s="166" t="str">
        <f>IFERROR(Table_2[[#This Row],[UTC TIME]]-TIME(1,30,0),"")</f>
        <v/>
      </c>
      <c r="S119" s="214"/>
      <c r="T119" s="215"/>
      <c r="U119" s="83"/>
      <c r="V119" s="83"/>
      <c r="W119" s="83"/>
      <c r="X119" s="83"/>
      <c r="Y119" s="83"/>
    </row>
    <row r="120" spans="1:25">
      <c r="A120" s="140" t="s">
        <v>265</v>
      </c>
      <c r="B120" s="163">
        <v>46066.847222222219</v>
      </c>
      <c r="C120" s="163"/>
      <c r="D120" s="136" t="s">
        <v>259</v>
      </c>
      <c r="E120" s="140" t="s">
        <v>75</v>
      </c>
      <c r="F120" s="280" t="s">
        <v>76</v>
      </c>
      <c r="G120" s="280"/>
      <c r="H120" s="144" t="s">
        <v>60</v>
      </c>
      <c r="I120" s="140" t="s">
        <v>259</v>
      </c>
      <c r="J120" s="140" t="s">
        <v>42</v>
      </c>
      <c r="K120" s="135" t="str">
        <f>LEFT(Table_2[[#This Row],[Flt. ID]],2)&amp;RIGHT(Table_2[[#This Row],[Flt. ID]],3)</f>
        <v>UO748</v>
      </c>
      <c r="L120" s="131" t="str">
        <f>"H"&amp;ROW(Table_2[[#This Row],[A/C]])+1&amp;":H300"</f>
        <v>H121:H300</v>
      </c>
      <c r="M120" s="164" t="str">
        <f>IFERROR(
    IF(Table_2[[#This Row],[Arr/ Dep]]="A",
        IF(
            INDEX(B121:B365,MATCH(Table_2[[#This Row],[A/C]],H121:H365,0))
            - IF(Table_2[[#This Row],[ETA/ETD]]="",Table_2[[#This Row],[STA/STD]],Table_2[[#This Row],[ETA/ETD]]) &lt; 0,
            "ASAP",
            IF(Table_2[[#This Row],[ETA/ETD]]="",
                INDEX(B121:B365,MATCH(Table_2[[#This Row],[A/C]],H121:H365,0))-Table_2[[#This Row],[STA/STD]],
                INDEX(B121:B365,MATCH(Table_2[[#This Row],[A/C]],H121:H365,0))-Table_2[[#This Row],[ETA/ETD]])
        ),
        ""
    ),
"TBC")</f>
        <v/>
      </c>
      <c r="N120" s="140" t="str" cm="1">
        <f t="array" ref="N12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0" s="135" t="str">
        <f>Table_2[[#This Row],[A/C]]&amp;Table_2[[#This Row],[Column2]]</f>
        <v>BKKFUO748</v>
      </c>
      <c r="Q12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0" s="166" t="str">
        <f>IFERROR(Table_2[[#This Row],[UTC TIME]]-TIME(1,30,0),"")</f>
        <v/>
      </c>
      <c r="S120" s="167"/>
      <c r="T120" s="186"/>
      <c r="U120" s="127"/>
      <c r="V120" s="127"/>
      <c r="W120" s="83"/>
      <c r="X120" s="83"/>
      <c r="Y120" s="83"/>
    </row>
    <row r="121" spans="1:25">
      <c r="A121" s="140" t="s">
        <v>266</v>
      </c>
      <c r="B121" s="163">
        <v>46066.847222222219</v>
      </c>
      <c r="C121" s="163"/>
      <c r="D121" s="136" t="s">
        <v>259</v>
      </c>
      <c r="E121" s="140" t="s">
        <v>75</v>
      </c>
      <c r="F121" s="280" t="s">
        <v>76</v>
      </c>
      <c r="G121" s="280"/>
      <c r="H121" s="144" t="s">
        <v>186</v>
      </c>
      <c r="I121" s="140" t="s">
        <v>259</v>
      </c>
      <c r="J121" s="140" t="s">
        <v>26</v>
      </c>
      <c r="K121" s="135" t="str">
        <f>LEFT(Table_2[[#This Row],[Flt. ID]],2)&amp;RIGHT(Table_2[[#This Row],[Flt. ID]],3)</f>
        <v>UO787</v>
      </c>
      <c r="L121" s="131" t="str">
        <f>"H"&amp;ROW(Table_2[[#This Row],[A/C]])+1&amp;":H300"</f>
        <v>H122:H300</v>
      </c>
      <c r="M121" s="164" t="str">
        <f>IFERROR(
    IF(Table_2[[#This Row],[Arr/ Dep]]="A",
        IF(
            INDEX(B122:B366,MATCH(Table_2[[#This Row],[A/C]],H122:H366,0))
            - IF(Table_2[[#This Row],[ETA/ETD]]="",Table_2[[#This Row],[STA/STD]],Table_2[[#This Row],[ETA/ETD]]) &lt; 0,
            "ASAP",
            IF(Table_2[[#This Row],[ETA/ETD]]="",
                INDEX(B122:B366,MATCH(Table_2[[#This Row],[A/C]],H122:H366,0))-Table_2[[#This Row],[STA/STD]],
                INDEX(B122:B366,MATCH(Table_2[[#This Row],[A/C]],H122:H366,0))-Table_2[[#This Row],[ETA/ETD]])
        ),
        ""
    ),
"TBC")</f>
        <v>TBC</v>
      </c>
      <c r="N121" s="140" t="str" cm="1">
        <f t="array" ref="N12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DEFECT,SCH,72H</v>
      </c>
      <c r="O12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1" s="135" t="str">
        <f>Table_2[[#This Row],[A/C]]&amp;Table_2[[#This Row],[Column2]]</f>
        <v>BHSNUO787</v>
      </c>
      <c r="Q12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1" s="166" t="str">
        <f>IFERROR(Table_2[[#This Row],[UTC TIME]]-TIME(1,30,0),"")</f>
        <v/>
      </c>
      <c r="S121" s="185"/>
      <c r="T121" s="221"/>
      <c r="U121" s="159"/>
      <c r="V121" s="83"/>
      <c r="W121" s="83"/>
      <c r="X121" s="83"/>
      <c r="Y121" s="83"/>
    </row>
    <row r="122" spans="1:25">
      <c r="A122" s="140" t="s">
        <v>86</v>
      </c>
      <c r="B122" s="163">
        <v>46066.850694444445</v>
      </c>
      <c r="C122" s="163"/>
      <c r="D122" s="136" t="s">
        <v>259</v>
      </c>
      <c r="E122" s="140" t="s">
        <v>87</v>
      </c>
      <c r="F122" s="280" t="s">
        <v>88</v>
      </c>
      <c r="G122" s="280"/>
      <c r="H122" s="144" t="s">
        <v>168</v>
      </c>
      <c r="I122" s="140" t="s">
        <v>259</v>
      </c>
      <c r="J122" s="140" t="s">
        <v>42</v>
      </c>
      <c r="K122" s="135" t="str">
        <f>LEFT(Table_2[[#This Row],[Flt. ID]],2)&amp;RIGHT(Table_2[[#This Row],[Flt. ID]],3)</f>
        <v>UO244</v>
      </c>
      <c r="L122" s="131" t="str">
        <f>"H"&amp;ROW(Table_2[[#This Row],[A/C]])+1&amp;":H300"</f>
        <v>H123:H300</v>
      </c>
      <c r="M122" s="164" t="str">
        <f>IFERROR(
    IF(Table_2[[#This Row],[Arr/ Dep]]="A",
        IF(
            INDEX(B123:B367,MATCH(Table_2[[#This Row],[A/C]],H123:H367,0))
            - IF(Table_2[[#This Row],[ETA/ETD]]="",Table_2[[#This Row],[STA/STD]],Table_2[[#This Row],[ETA/ETD]]) &lt; 0,
            "ASAP",
            IF(Table_2[[#This Row],[ETA/ETD]]="",
                INDEX(B123:B367,MATCH(Table_2[[#This Row],[A/C]],H123:H367,0))-Table_2[[#This Row],[STA/STD]],
                INDEX(B123:B367,MATCH(Table_2[[#This Row],[A/C]],H123:H367,0))-Table_2[[#This Row],[ETA/ETD]])
        ),
        ""
    ),
"TBC")</f>
        <v/>
      </c>
      <c r="N122" s="140" t="str" cm="1">
        <f t="array" ref="N12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2" s="135" t="str">
        <f>Table_2[[#This Row],[A/C]]&amp;Table_2[[#This Row],[Column2]]</f>
        <v>BLCMUO244</v>
      </c>
      <c r="Q12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2" s="166" t="str">
        <f>IFERROR(Table_2[[#This Row],[UTC TIME]]-TIME(1,30,0),"")</f>
        <v/>
      </c>
      <c r="S122" s="214"/>
      <c r="T122" s="215"/>
      <c r="U122" s="83"/>
      <c r="V122" s="83"/>
      <c r="W122" s="83"/>
      <c r="X122" s="83"/>
      <c r="Y122" s="83"/>
    </row>
    <row r="123" spans="1:25">
      <c r="A123" s="140" t="s">
        <v>331</v>
      </c>
      <c r="B123" s="163">
        <v>46066.857638888891</v>
      </c>
      <c r="C123" s="163"/>
      <c r="D123" s="136" t="s">
        <v>259</v>
      </c>
      <c r="E123" s="140" t="s">
        <v>50</v>
      </c>
      <c r="F123" s="280" t="s">
        <v>51</v>
      </c>
      <c r="G123" s="280"/>
      <c r="H123" s="144" t="s">
        <v>108</v>
      </c>
      <c r="I123" s="140" t="s">
        <v>259</v>
      </c>
      <c r="J123" s="140" t="s">
        <v>42</v>
      </c>
      <c r="K123" s="135" t="str">
        <f>LEFT(Table_2[[#This Row],[Flt. ID]],2)&amp;RIGHT(Table_2[[#This Row],[Flt. ID]],3)</f>
        <v>UO532</v>
      </c>
      <c r="L123" s="131" t="str">
        <f>"H"&amp;ROW(Table_2[[#This Row],[A/C]])+1&amp;":H300"</f>
        <v>H124:H300</v>
      </c>
      <c r="M123" s="164" t="str">
        <f>IFERROR(
    IF(Table_2[[#This Row],[Arr/ Dep]]="A",
        IF(
            INDEX(B124:B368,MATCH(Table_2[[#This Row],[A/C]],H124:H368,0))
            - IF(Table_2[[#This Row],[ETA/ETD]]="",Table_2[[#This Row],[STA/STD]],Table_2[[#This Row],[ETA/ETD]]) &lt; 0,
            "ASAP",
            IF(Table_2[[#This Row],[ETA/ETD]]="",
                INDEX(B124:B368,MATCH(Table_2[[#This Row],[A/C]],H124:H368,0))-Table_2[[#This Row],[STA/STD]],
                INDEX(B124:B368,MATCH(Table_2[[#This Row],[A/C]],H124:H368,0))-Table_2[[#This Row],[ETA/ETD]])
        ),
        ""
    ),
"TBC")</f>
        <v/>
      </c>
      <c r="N123" s="140" t="str" cm="1">
        <f t="array" ref="N12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3" s="135" t="str">
        <f>Table_2[[#This Row],[A/C]]&amp;Table_2[[#This Row],[Column2]]</f>
        <v>BKKAUO532</v>
      </c>
      <c r="Q12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3" s="166" t="str">
        <f>IFERROR(Table_2[[#This Row],[UTC TIME]]-TIME(1,30,0),"")</f>
        <v/>
      </c>
      <c r="S123" s="167"/>
      <c r="T123" s="186"/>
      <c r="U123" s="225"/>
      <c r="V123" s="225"/>
      <c r="W123" s="226"/>
      <c r="X123" s="226"/>
      <c r="Y123" s="226"/>
    </row>
    <row r="124" spans="1:25">
      <c r="A124" s="140" t="s">
        <v>268</v>
      </c>
      <c r="B124" s="163">
        <v>46066.875</v>
      </c>
      <c r="C124" s="163"/>
      <c r="D124" s="136" t="s">
        <v>259</v>
      </c>
      <c r="E124" s="140" t="s">
        <v>22</v>
      </c>
      <c r="F124" s="280" t="s">
        <v>23</v>
      </c>
      <c r="G124" s="280"/>
      <c r="H124" s="144" t="s">
        <v>172</v>
      </c>
      <c r="I124" s="140" t="s">
        <v>259</v>
      </c>
      <c r="J124" s="140" t="s">
        <v>26</v>
      </c>
      <c r="K124" s="135" t="str">
        <f>LEFT(Table_2[[#This Row],[Flt. ID]],2)&amp;RIGHT(Table_2[[#This Row],[Flt. ID]],3)</f>
        <v>UO899</v>
      </c>
      <c r="L124" s="131" t="str">
        <f>"H"&amp;ROW(Table_2[[#This Row],[A/C]])+1&amp;":H300"</f>
        <v>H125:H300</v>
      </c>
      <c r="M124" s="164">
        <f>IFERROR(
    IF(Table_2[[#This Row],[Arr/ Dep]]="A",
        IF(
            INDEX(B125:B369,MATCH(Table_2[[#This Row],[A/C]],H125:H369,0))
            - IF(Table_2[[#This Row],[ETA/ETD]]="",Table_2[[#This Row],[STA/STD]],Table_2[[#This Row],[ETA/ETD]]) &lt; 0,
            "ASAP",
            IF(Table_2[[#This Row],[ETA/ETD]]="",
                INDEX(B125:B369,MATCH(Table_2[[#This Row],[A/C]],H125:H369,0))-Table_2[[#This Row],[STA/STD]],
                INDEX(B125:B369,MATCH(Table_2[[#This Row],[A/C]],H125:H369,0))-Table_2[[#This Row],[ETA/ETD]])
        ),
        ""
    ),
"TBC")</f>
        <v>0.12152777778101154</v>
      </c>
      <c r="N124" s="140" t="str" cm="1">
        <f t="array" ref="N12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4" s="135" t="str">
        <f>Table_2[[#This Row],[A/C]]&amp;Table_2[[#This Row],[Column2]]</f>
        <v>BKKQUO899</v>
      </c>
      <c r="Q12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4" s="166" t="str">
        <f>IFERROR(Table_2[[#This Row],[UTC TIME]]-TIME(1,30,0),"")</f>
        <v/>
      </c>
      <c r="S124" s="223"/>
      <c r="T124" s="185"/>
      <c r="U124" s="190"/>
      <c r="V124" s="190"/>
      <c r="W124" s="114"/>
      <c r="X124" s="114"/>
      <c r="Y124" s="114"/>
    </row>
    <row r="125" spans="1:25">
      <c r="A125" s="140" t="s">
        <v>270</v>
      </c>
      <c r="B125" s="163">
        <v>46066.878472222219</v>
      </c>
      <c r="C125" s="163"/>
      <c r="D125" s="136" t="s">
        <v>259</v>
      </c>
      <c r="E125" s="140" t="s">
        <v>38</v>
      </c>
      <c r="F125" s="280" t="s">
        <v>39</v>
      </c>
      <c r="G125" s="280"/>
      <c r="H125" s="144" t="s">
        <v>68</v>
      </c>
      <c r="I125" s="140" t="s">
        <v>259</v>
      </c>
      <c r="J125" s="140" t="s">
        <v>42</v>
      </c>
      <c r="K125" s="135" t="str">
        <f>LEFT(Table_2[[#This Row],[Flt. ID]],2)&amp;RIGHT(Table_2[[#This Row],[Flt. ID]],3)</f>
        <v>UO614</v>
      </c>
      <c r="L125" s="131" t="str">
        <f>"H"&amp;ROW(Table_2[[#This Row],[A/C]])+1&amp;":H300"</f>
        <v>H126:H300</v>
      </c>
      <c r="M125" s="164" t="str">
        <f>IFERROR(
    IF(Table_2[[#This Row],[Arr/ Dep]]="A",
        IF(
            INDEX(B126:B370,MATCH(Table_2[[#This Row],[A/C]],H126:H370,0))
            - IF(Table_2[[#This Row],[ETA/ETD]]="",Table_2[[#This Row],[STA/STD]],Table_2[[#This Row],[ETA/ETD]]) &lt; 0,
            "ASAP",
            IF(Table_2[[#This Row],[ETA/ETD]]="",
                INDEX(B126:B370,MATCH(Table_2[[#This Row],[A/C]],H126:H370,0))-Table_2[[#This Row],[STA/STD]],
                INDEX(B126:B370,MATCH(Table_2[[#This Row],[A/C]],H126:H370,0))-Table_2[[#This Row],[ETA/ETD]])
        ),
        ""
    ),
"TBC")</f>
        <v/>
      </c>
      <c r="N125" s="140" t="str" cm="1">
        <f t="array" ref="N12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5" s="135" t="str">
        <f>Table_2[[#This Row],[A/C]]&amp;Table_2[[#This Row],[Column2]]</f>
        <v>BKKDUO614</v>
      </c>
      <c r="Q12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5" s="166" t="str">
        <f>IFERROR(Table_2[[#This Row],[UTC TIME]]-TIME(1,30,0),"")</f>
        <v/>
      </c>
      <c r="S125" s="223"/>
      <c r="T125" s="185"/>
      <c r="U125" s="190"/>
      <c r="V125" s="190"/>
      <c r="W125" s="114"/>
      <c r="X125" s="114"/>
      <c r="Y125" s="114"/>
    </row>
    <row r="126" spans="1:25" hidden="1">
      <c r="A126" s="140" t="s">
        <v>271</v>
      </c>
      <c r="B126" s="163">
        <v>46066.878472222219</v>
      </c>
      <c r="C126" s="163"/>
      <c r="D126" s="136" t="s">
        <v>259</v>
      </c>
      <c r="E126" s="140" t="s">
        <v>122</v>
      </c>
      <c r="F126" s="280" t="s">
        <v>123</v>
      </c>
      <c r="G126" s="280"/>
      <c r="H126" s="144" t="s">
        <v>156</v>
      </c>
      <c r="I126" s="140" t="s">
        <v>259</v>
      </c>
      <c r="J126" s="140" t="s">
        <v>26</v>
      </c>
      <c r="K126" s="135" t="str">
        <f>LEFT(Table_2[[#This Row],[Flt. ID]],2)&amp;RIGHT(Table_2[[#This Row],[Flt. ID]],3)</f>
        <v>UO639</v>
      </c>
      <c r="L126" s="131" t="str">
        <f>"H"&amp;ROW(Table_2[[#This Row],[A/C]])+1&amp;":H300"</f>
        <v>H127:H300</v>
      </c>
      <c r="M126" s="164">
        <f>IFERROR(
    IF(Table_2[[#This Row],[Arr/ Dep]]="A",
        IF(
            INDEX(B127:B371,MATCH(Table_2[[#This Row],[A/C]],H127:H371,0))
            - IF(Table_2[[#This Row],[ETA/ETD]]="",Table_2[[#This Row],[STA/STD]],Table_2[[#This Row],[ETA/ETD]]) &lt; 0,
            "ASAP",
            IF(Table_2[[#This Row],[ETA/ETD]]="",
                INDEX(B127:B371,MATCH(Table_2[[#This Row],[A/C]],H127:H371,0))-Table_2[[#This Row],[STA/STD]],
                INDEX(B127:B371,MATCH(Table_2[[#This Row],[A/C]],H127:H371,0))-Table_2[[#This Row],[ETA/ETD]])
        ),
        ""
    ),
"TBC")</f>
        <v>4.1666666671517305E-2</v>
      </c>
      <c r="N126" s="140" t="str" cm="1">
        <f t="array" ref="N12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6" s="135" t="str">
        <f>Table_2[[#This Row],[A/C]]&amp;Table_2[[#This Row],[Column2]]</f>
        <v>BLEDUO639</v>
      </c>
      <c r="Q12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6" s="166" t="str">
        <f>IFERROR(Table_2[[#This Row],[UTC TIME]]-TIME(1,30,0),"")</f>
        <v/>
      </c>
      <c r="S126" s="223"/>
      <c r="T126" s="185"/>
      <c r="U126" s="190"/>
      <c r="V126" s="190"/>
      <c r="W126" s="114"/>
      <c r="X126" s="114"/>
      <c r="Y126" s="114"/>
    </row>
    <row r="127" spans="1:25">
      <c r="A127" s="140" t="s">
        <v>332</v>
      </c>
      <c r="B127" s="163">
        <v>46066.888888888891</v>
      </c>
      <c r="C127" s="163"/>
      <c r="D127" s="136" t="s">
        <v>259</v>
      </c>
      <c r="E127" s="140" t="s">
        <v>125</v>
      </c>
      <c r="F127" s="280" t="s">
        <v>126</v>
      </c>
      <c r="G127" s="280"/>
      <c r="H127" s="144" t="s">
        <v>218</v>
      </c>
      <c r="I127" s="140" t="s">
        <v>259</v>
      </c>
      <c r="J127" s="140" t="s">
        <v>26</v>
      </c>
      <c r="K127" s="135" t="str">
        <f>LEFT(Table_2[[#This Row],[Flt. ID]],2)&amp;RIGHT(Table_2[[#This Row],[Flt. ID]],3)</f>
        <v>UO729</v>
      </c>
      <c r="L127" s="131" t="str">
        <f>"H"&amp;ROW(Table_2[[#This Row],[A/C]])+1&amp;":H300"</f>
        <v>H128:H300</v>
      </c>
      <c r="M127" s="164">
        <f>IFERROR(
    IF(Table_2[[#This Row],[Arr/ Dep]]="A",
        IF(
            INDEX(B128:B372,MATCH(Table_2[[#This Row],[A/C]],H128:H372,0))
            - IF(Table_2[[#This Row],[ETA/ETD]]="",Table_2[[#This Row],[STA/STD]],Table_2[[#This Row],[ETA/ETD]]) &lt; 0,
            "ASAP",
            IF(Table_2[[#This Row],[ETA/ETD]]="",
                INDEX(B128:B372,MATCH(Table_2[[#This Row],[A/C]],H128:H372,0))-Table_2[[#This Row],[STA/STD]],
                INDEX(B128:B372,MATCH(Table_2[[#This Row],[A/C]],H128:H372,0))-Table_2[[#This Row],[ETA/ETD]])
        ),
        ""
    ),
"TBC")</f>
        <v>0.42013888889050577</v>
      </c>
      <c r="N127" s="140" t="str" cm="1">
        <f t="array" ref="N12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SCH,72H</v>
      </c>
      <c r="O12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7" s="135" t="str">
        <f>Table_2[[#This Row],[A/C]]&amp;Table_2[[#This Row],[Column2]]</f>
        <v>BHSLUO729</v>
      </c>
      <c r="Q12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7" s="166" t="str">
        <f>IFERROR(Table_2[[#This Row],[UTC TIME]]-TIME(1,30,0),"")</f>
        <v/>
      </c>
      <c r="S127" s="223"/>
      <c r="T127" s="185"/>
      <c r="U127" s="114"/>
      <c r="V127" s="114"/>
      <c r="W127" s="114"/>
      <c r="X127" s="114"/>
      <c r="Y127" s="114"/>
    </row>
    <row r="128" spans="1:25" hidden="1">
      <c r="A128" s="140" t="s">
        <v>272</v>
      </c>
      <c r="B128" s="163">
        <v>46066.892361111109</v>
      </c>
      <c r="C128" s="163"/>
      <c r="D128" s="136" t="s">
        <v>259</v>
      </c>
      <c r="E128" s="140" t="s">
        <v>140</v>
      </c>
      <c r="F128" s="280" t="s">
        <v>141</v>
      </c>
      <c r="G128" s="280"/>
      <c r="H128" s="144" t="s">
        <v>101</v>
      </c>
      <c r="I128" s="140" t="s">
        <v>259</v>
      </c>
      <c r="J128" s="140" t="s">
        <v>26</v>
      </c>
      <c r="K128" s="135" t="str">
        <f>LEFT(Table_2[[#This Row],[Flt. ID]],2)&amp;RIGHT(Table_2[[#This Row],[Flt. ID]],3)</f>
        <v>UO559</v>
      </c>
      <c r="L128" s="131" t="str">
        <f>"H"&amp;ROW(Table_2[[#This Row],[A/C]])+1&amp;":H300"</f>
        <v>H129:H300</v>
      </c>
      <c r="M128" s="164">
        <f>IFERROR(
    IF(Table_2[[#This Row],[Arr/ Dep]]="A",
        IF(
            INDEX(B129:B373,MATCH(Table_2[[#This Row],[A/C]],H129:H373,0))
            - IF(Table_2[[#This Row],[ETA/ETD]]="",Table_2[[#This Row],[STA/STD]],Table_2[[#This Row],[ETA/ETD]]) &lt; 0,
            "ASAP",
            IF(Table_2[[#This Row],[ETA/ETD]]="",
                INDEX(B129:B373,MATCH(Table_2[[#This Row],[A/C]],H129:H373,0))-Table_2[[#This Row],[STA/STD]],
                INDEX(B129:B373,MATCH(Table_2[[#This Row],[A/C]],H129:H373,0))-Table_2[[#This Row],[ETA/ETD]])
        ),
        ""
    ),
"TBC")</f>
        <v>6.9444444445252884E-2</v>
      </c>
      <c r="N128" s="140" t="str" cm="1">
        <f t="array" ref="N12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8" s="135" t="str">
        <f>Table_2[[#This Row],[A/C]]&amp;Table_2[[#This Row],[Column2]]</f>
        <v>BLEIUO559</v>
      </c>
      <c r="Q12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8" s="166" t="str">
        <f>IFERROR(Table_2[[#This Row],[UTC TIME]]-TIME(1,30,0),"")</f>
        <v/>
      </c>
      <c r="S128" s="214"/>
      <c r="T128" s="216"/>
      <c r="U128" s="227"/>
      <c r="V128" s="227"/>
      <c r="W128" s="227"/>
      <c r="X128" s="227"/>
      <c r="Y128" s="227"/>
    </row>
    <row r="129" spans="1:25" hidden="1">
      <c r="A129" s="140" t="s">
        <v>274</v>
      </c>
      <c r="B129" s="163">
        <v>46066.892361111109</v>
      </c>
      <c r="C129" s="163"/>
      <c r="D129" s="136" t="s">
        <v>259</v>
      </c>
      <c r="E129" s="140" t="s">
        <v>80</v>
      </c>
      <c r="F129" s="280" t="s">
        <v>81</v>
      </c>
      <c r="G129" s="280"/>
      <c r="H129" s="144" t="s">
        <v>52</v>
      </c>
      <c r="I129" s="140" t="s">
        <v>259</v>
      </c>
      <c r="J129" s="140" t="s">
        <v>42</v>
      </c>
      <c r="K129" s="135" t="str">
        <f>LEFT(Table_2[[#This Row],[Flt. ID]],2)&amp;RIGHT(Table_2[[#This Row],[Flt. ID]],3)</f>
        <v>UO790</v>
      </c>
      <c r="L129" s="131" t="str">
        <f>"H"&amp;ROW(Table_2[[#This Row],[A/C]])+1&amp;":H300"</f>
        <v>H130:H300</v>
      </c>
      <c r="M129" s="164" t="str">
        <f>IFERROR(
    IF(Table_2[[#This Row],[Arr/ Dep]]="A",
        IF(
            INDEX(B130:B374,MATCH(Table_2[[#This Row],[A/C]],H130:H374,0))
            - IF(Table_2[[#This Row],[ETA/ETD]]="",Table_2[[#This Row],[STA/STD]],Table_2[[#This Row],[ETA/ETD]]) &lt; 0,
            "ASAP",
            IF(Table_2[[#This Row],[ETA/ETD]]="",
                INDEX(B130:B374,MATCH(Table_2[[#This Row],[A/C]],H130:H374,0))-Table_2[[#This Row],[STA/STD]],
                INDEX(B130:B374,MATCH(Table_2[[#This Row],[A/C]],H130:H374,0))-Table_2[[#This Row],[ETA/ETD]])
        ),
        ""
    ),
"TBC")</f>
        <v/>
      </c>
      <c r="N129" s="140" t="str" cm="1">
        <f t="array" ref="N12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2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29" s="135" t="str">
        <f>Table_2[[#This Row],[A/C]]&amp;Table_2[[#This Row],[Column2]]</f>
        <v>BLEFUO790</v>
      </c>
      <c r="Q12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29" s="166" t="str">
        <f>IFERROR(Table_2[[#This Row],[UTC TIME]]-TIME(1,30,0),"")</f>
        <v/>
      </c>
      <c r="S129" s="167"/>
      <c r="T129" s="212"/>
      <c r="U129" s="225"/>
      <c r="V129" s="225"/>
      <c r="W129" s="226"/>
      <c r="X129" s="226"/>
      <c r="Y129" s="226"/>
    </row>
    <row r="130" spans="1:25">
      <c r="A130" s="140" t="s">
        <v>277</v>
      </c>
      <c r="B130" s="163">
        <v>46066.892361111109</v>
      </c>
      <c r="C130" s="163"/>
      <c r="D130" s="136" t="s">
        <v>259</v>
      </c>
      <c r="E130" s="140" t="s">
        <v>28</v>
      </c>
      <c r="F130" s="280" t="s">
        <v>29</v>
      </c>
      <c r="G130" s="280"/>
      <c r="H130" s="144" t="s">
        <v>40</v>
      </c>
      <c r="I130" s="140" t="s">
        <v>259</v>
      </c>
      <c r="J130" s="140" t="s">
        <v>26</v>
      </c>
      <c r="K130" s="135" t="str">
        <f>LEFT(Table_2[[#This Row],[Flt. ID]],2)&amp;RIGHT(Table_2[[#This Row],[Flt. ID]],3)</f>
        <v>UO871</v>
      </c>
      <c r="L130" s="131" t="str">
        <f>"H"&amp;ROW(Table_2[[#This Row],[A/C]])+1&amp;":H300"</f>
        <v>H131:H300</v>
      </c>
      <c r="M130" s="164" t="str">
        <f>IFERROR(
    IF(Table_2[[#This Row],[Arr/ Dep]]="A",
        IF(
            INDEX(B131:B375,MATCH(Table_2[[#This Row],[A/C]],H131:H375,0))
            - IF(Table_2[[#This Row],[ETA/ETD]]="",Table_2[[#This Row],[STA/STD]],Table_2[[#This Row],[ETA/ETD]]) &lt; 0,
            "ASAP",
            IF(Table_2[[#This Row],[ETA/ETD]]="",
                INDEX(B131:B375,MATCH(Table_2[[#This Row],[A/C]],H131:H375,0))-Table_2[[#This Row],[STA/STD]],
                INDEX(B131:B375,MATCH(Table_2[[#This Row],[A/C]],H131:H375,0))-Table_2[[#This Row],[ETA/ETD]])
        ),
        ""
    ),
"TBC")</f>
        <v>TBC</v>
      </c>
      <c r="N130" s="140" t="str" cm="1">
        <f t="array" ref="N13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SCH,72H</v>
      </c>
      <c r="O13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0" s="135" t="str">
        <f>Table_2[[#This Row],[A/C]]&amp;Table_2[[#This Row],[Column2]]</f>
        <v>BKKCUO871</v>
      </c>
      <c r="Q13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0" s="166" t="str">
        <f>IFERROR(Table_2[[#This Row],[UTC TIME]]-TIME(1,30,0),"")</f>
        <v/>
      </c>
      <c r="S130" s="223"/>
      <c r="T130" s="229"/>
      <c r="U130" s="190"/>
      <c r="V130" s="190"/>
      <c r="W130" s="114"/>
      <c r="X130" s="114"/>
      <c r="Y130" s="114"/>
    </row>
    <row r="131" spans="1:25">
      <c r="A131" s="140" t="s">
        <v>285</v>
      </c>
      <c r="B131" s="163">
        <v>46066.916666666664</v>
      </c>
      <c r="C131" s="163"/>
      <c r="D131" s="136" t="s">
        <v>259</v>
      </c>
      <c r="E131" s="140" t="s">
        <v>63</v>
      </c>
      <c r="F131" s="280" t="s">
        <v>64</v>
      </c>
      <c r="G131" s="280"/>
      <c r="H131" s="144" t="s">
        <v>161</v>
      </c>
      <c r="I131" s="140" t="s">
        <v>259</v>
      </c>
      <c r="J131" s="140" t="s">
        <v>26</v>
      </c>
      <c r="K131" s="135" t="str">
        <f>LEFT(Table_2[[#This Row],[Flt. ID]],2)&amp;RIGHT(Table_2[[#This Row],[Flt. ID]],3)</f>
        <v>UO663</v>
      </c>
      <c r="L131" s="131" t="str">
        <f>"H"&amp;ROW(Table_2[[#This Row],[A/C]])+1&amp;":H300"</f>
        <v>H132:H300</v>
      </c>
      <c r="M131" s="164" t="str">
        <f>IFERROR(
    IF(Table_2[[#This Row],[Arr/ Dep]]="A",
        IF(
            INDEX(B132:B376,MATCH(Table_2[[#This Row],[A/C]],H132:H376,0))
            - IF(Table_2[[#This Row],[ETA/ETD]]="",Table_2[[#This Row],[STA/STD]],Table_2[[#This Row],[ETA/ETD]]) &lt; 0,
            "ASAP",
            IF(Table_2[[#This Row],[ETA/ETD]]="",
                INDEX(B132:B376,MATCH(Table_2[[#This Row],[A/C]],H132:H376,0))-Table_2[[#This Row],[STA/STD]],
                INDEX(B132:B376,MATCH(Table_2[[#This Row],[A/C]],H132:H376,0))-Table_2[[#This Row],[ETA/ETD]])
        ),
        ""
    ),
"TBC")</f>
        <v>TBC</v>
      </c>
      <c r="N131" s="140" t="str" cm="1">
        <f t="array" ref="N13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</v>
      </c>
      <c r="O13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1" s="135" t="str">
        <f>Table_2[[#This Row],[A/C]]&amp;Table_2[[#This Row],[Column2]]</f>
        <v>BLCHUO663</v>
      </c>
      <c r="Q13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1" s="166" t="str">
        <f>IFERROR(Table_2[[#This Row],[UTC TIME]]-TIME(1,30,0),"")</f>
        <v/>
      </c>
      <c r="S131" s="223"/>
      <c r="T131" s="185"/>
      <c r="U131" s="228"/>
      <c r="V131" s="190"/>
      <c r="W131" s="114"/>
      <c r="X131" s="114"/>
      <c r="Y131" s="114"/>
    </row>
    <row r="132" spans="1:25" hidden="1">
      <c r="A132" s="140" t="s">
        <v>278</v>
      </c>
      <c r="B132" s="163">
        <v>46066.920138888891</v>
      </c>
      <c r="C132" s="163"/>
      <c r="D132" s="136" t="s">
        <v>259</v>
      </c>
      <c r="E132" s="140" t="s">
        <v>95</v>
      </c>
      <c r="F132" s="280" t="s">
        <v>96</v>
      </c>
      <c r="G132" s="280"/>
      <c r="H132" s="144" t="s">
        <v>156</v>
      </c>
      <c r="I132" s="140" t="s">
        <v>259</v>
      </c>
      <c r="J132" s="140" t="s">
        <v>42</v>
      </c>
      <c r="K132" s="135" t="str">
        <f>LEFT(Table_2[[#This Row],[Flt. ID]],2)&amp;RIGHT(Table_2[[#This Row],[Flt. ID]],3)</f>
        <v>UO260</v>
      </c>
      <c r="L132" s="131" t="str">
        <f>"H"&amp;ROW(Table_2[[#This Row],[A/C]])+1&amp;":H300"</f>
        <v>H133:H300</v>
      </c>
      <c r="M132" s="164" t="str">
        <f>IFERROR(
    IF(Table_2[[#This Row],[Arr/ Dep]]="A",
        IF(
            INDEX(B133:B377,MATCH(Table_2[[#This Row],[A/C]],H133:H377,0))
            - IF(Table_2[[#This Row],[ETA/ETD]]="",Table_2[[#This Row],[STA/STD]],Table_2[[#This Row],[ETA/ETD]]) &lt; 0,
            "ASAP",
            IF(Table_2[[#This Row],[ETA/ETD]]="",
                INDEX(B133:B377,MATCH(Table_2[[#This Row],[A/C]],H133:H377,0))-Table_2[[#This Row],[STA/STD]],
                INDEX(B133:B377,MATCH(Table_2[[#This Row],[A/C]],H133:H377,0))-Table_2[[#This Row],[ETA/ETD]])
        ),
        ""
    ),
"TBC")</f>
        <v/>
      </c>
      <c r="N132" s="140" t="str" cm="1">
        <f t="array" ref="N13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2" s="135" t="str">
        <f>Table_2[[#This Row],[A/C]]&amp;Table_2[[#This Row],[Column2]]</f>
        <v>BLEDUO260</v>
      </c>
      <c r="Q13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2" s="166" t="str">
        <f>IFERROR(Table_2[[#This Row],[UTC TIME]]-TIME(1,30,0),"")</f>
        <v/>
      </c>
      <c r="S132" s="234"/>
      <c r="T132" s="235"/>
      <c r="U132" s="236"/>
      <c r="V132" s="236"/>
      <c r="W132" s="236"/>
      <c r="X132" s="236"/>
      <c r="Y132" s="236"/>
    </row>
    <row r="133" spans="1:25" hidden="1">
      <c r="A133" s="140" t="s">
        <v>279</v>
      </c>
      <c r="B133" s="163">
        <v>46066.927083333336</v>
      </c>
      <c r="C133" s="163"/>
      <c r="D133" s="136" t="s">
        <v>259</v>
      </c>
      <c r="E133" s="140" t="s">
        <v>106</v>
      </c>
      <c r="F133" s="280" t="s">
        <v>107</v>
      </c>
      <c r="G133" s="280"/>
      <c r="H133" s="144" t="s">
        <v>97</v>
      </c>
      <c r="I133" s="140" t="s">
        <v>259</v>
      </c>
      <c r="J133" s="140" t="s">
        <v>26</v>
      </c>
      <c r="K133" s="135" t="str">
        <f>LEFT(Table_2[[#This Row],[Flt. ID]],2)&amp;RIGHT(Table_2[[#This Row],[Flt. ID]],3)</f>
        <v>UO827</v>
      </c>
      <c r="L133" s="131" t="str">
        <f>"H"&amp;ROW(Table_2[[#This Row],[A/C]])+1&amp;":H300"</f>
        <v>H134:H300</v>
      </c>
      <c r="M133" s="164">
        <f>IFERROR(
    IF(Table_2[[#This Row],[Arr/ Dep]]="A",
        IF(
            INDEX(B134:B378,MATCH(Table_2[[#This Row],[A/C]],H134:H378,0))
            - IF(Table_2[[#This Row],[ETA/ETD]]="",Table_2[[#This Row],[STA/STD]],Table_2[[#This Row],[ETA/ETD]]) &lt; 0,
            "ASAP",
            IF(Table_2[[#This Row],[ETA/ETD]]="",
                INDEX(B134:B378,MATCH(Table_2[[#This Row],[A/C]],H134:H378,0))-Table_2[[#This Row],[STA/STD]],
                INDEX(B134:B378,MATCH(Table_2[[#This Row],[A/C]],H134:H378,0))-Table_2[[#This Row],[ETA/ETD]])
        ),
        ""
    ),
"TBC")</f>
        <v>0.38194444444525288</v>
      </c>
      <c r="N133" s="140" t="str" cm="1">
        <f t="array" ref="N13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3" s="135" t="str">
        <f>Table_2[[#This Row],[A/C]]&amp;Table_2[[#This Row],[Column2]]</f>
        <v>BLEEUO827</v>
      </c>
      <c r="Q13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3" s="166" t="str">
        <f>IFERROR(Table_2[[#This Row],[UTC TIME]]-TIME(1,30,0),"")</f>
        <v/>
      </c>
      <c r="S133" s="223"/>
      <c r="T133" s="185"/>
      <c r="U133" s="185"/>
      <c r="V133" s="190"/>
      <c r="W133" s="114"/>
      <c r="X133" s="114"/>
      <c r="Y133" s="114"/>
    </row>
    <row r="134" spans="1:25">
      <c r="A134" s="140" t="s">
        <v>283</v>
      </c>
      <c r="B134" s="163">
        <v>46066.934027777781</v>
      </c>
      <c r="C134" s="163"/>
      <c r="D134" s="136" t="s">
        <v>259</v>
      </c>
      <c r="E134" s="140" t="s">
        <v>111</v>
      </c>
      <c r="F134" s="280" t="s">
        <v>112</v>
      </c>
      <c r="G134" s="280"/>
      <c r="H134" s="144" t="s">
        <v>113</v>
      </c>
      <c r="I134" s="140" t="s">
        <v>259</v>
      </c>
      <c r="J134" s="140" t="s">
        <v>26</v>
      </c>
      <c r="K134" s="135" t="str">
        <f>LEFT(Table_2[[#This Row],[Flt. ID]],2)&amp;RIGHT(Table_2[[#This Row],[Flt. ID]],3)</f>
        <v>UO183</v>
      </c>
      <c r="L134" s="131" t="str">
        <f>"H"&amp;ROW(Table_2[[#This Row],[A/C]])+1&amp;":H300"</f>
        <v>H135:H300</v>
      </c>
      <c r="M134" s="164">
        <f>IFERROR(
    IF(Table_2[[#This Row],[Arr/ Dep]]="A",
        IF(
            INDEX(B135:B379,MATCH(Table_2[[#This Row],[A/C]],H135:H379,0))
            - IF(Table_2[[#This Row],[ETA/ETD]]="",Table_2[[#This Row],[STA/STD]],Table_2[[#This Row],[ETA/ETD]]) &lt; 0,
            "ASAP",
            IF(Table_2[[#This Row],[ETA/ETD]]="",
                INDEX(B135:B379,MATCH(Table_2[[#This Row],[A/C]],H135:H379,0))-Table_2[[#This Row],[STA/STD]],
                INDEX(B135:B379,MATCH(Table_2[[#This Row],[A/C]],H135:H379,0))-Table_2[[#This Row],[ETA/ETD]])
        ),
        ""
    ),
"TBC")</f>
        <v>0.10416666666424135</v>
      </c>
      <c r="N134" s="140" t="str" cm="1">
        <f t="array" ref="N13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4" s="135" t="str">
        <f>Table_2[[#This Row],[A/C]]&amp;Table_2[[#This Row],[Column2]]</f>
        <v>BKKIUO183</v>
      </c>
      <c r="Q13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4" s="166" t="str">
        <f>IFERROR(Table_2[[#This Row],[UTC TIME]]-TIME(1,30,0),"")</f>
        <v/>
      </c>
      <c r="S134" s="223"/>
      <c r="T134" s="185"/>
      <c r="U134" s="190"/>
      <c r="V134" s="190"/>
      <c r="W134" s="114"/>
      <c r="X134" s="114"/>
      <c r="Y134" s="114"/>
    </row>
    <row r="135" spans="1:25">
      <c r="A135" s="140" t="s">
        <v>333</v>
      </c>
      <c r="B135" s="163">
        <v>46066.944444444445</v>
      </c>
      <c r="C135" s="163"/>
      <c r="D135" s="136" t="s">
        <v>259</v>
      </c>
      <c r="E135" s="140" t="s">
        <v>133</v>
      </c>
      <c r="F135" s="280" t="s">
        <v>134</v>
      </c>
      <c r="G135" s="280"/>
      <c r="H135" s="144" t="s">
        <v>138</v>
      </c>
      <c r="I135" s="140" t="s">
        <v>259</v>
      </c>
      <c r="J135" s="140" t="s">
        <v>26</v>
      </c>
      <c r="K135" s="135" t="str">
        <f>LEFT(Table_2[[#This Row],[Flt. ID]],2)&amp;RIGHT(Table_2[[#This Row],[Flt. ID]],3)</f>
        <v>UO135</v>
      </c>
      <c r="L135" s="131" t="str">
        <f>"H"&amp;ROW(Table_2[[#This Row],[A/C]])+1&amp;":H300"</f>
        <v>H136:H300</v>
      </c>
      <c r="M135" s="164" t="str">
        <f>IFERROR(
    IF(Table_2[[#This Row],[Arr/ Dep]]="A",
        IF(
            INDEX(B136:B380,MATCH(Table_2[[#This Row],[A/C]],H136:H380,0))
            - IF(Table_2[[#This Row],[ETA/ETD]]="",Table_2[[#This Row],[STA/STD]],Table_2[[#This Row],[ETA/ETD]]) &lt; 0,
            "ASAP",
            IF(Table_2[[#This Row],[ETA/ETD]]="",
                INDEX(B136:B380,MATCH(Table_2[[#This Row],[A/C]],H136:H380,0))-Table_2[[#This Row],[STA/STD]],
                INDEX(B136:B380,MATCH(Table_2[[#This Row],[A/C]],H136:H380,0))-Table_2[[#This Row],[ETA/ETD]])
        ),
        ""
    ),
"TBC")</f>
        <v>TBC</v>
      </c>
      <c r="N135" s="140" t="str" cm="1">
        <f t="array" ref="N13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13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5" s="135" t="str">
        <f>Table_2[[#This Row],[A/C]]&amp;Table_2[[#This Row],[Column2]]</f>
        <v>BLCJUO135</v>
      </c>
      <c r="Q13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5" s="166" t="str">
        <f>IFERROR(Table_2[[#This Row],[UTC TIME]]-TIME(1,30,0),"")</f>
        <v/>
      </c>
      <c r="S135" s="184"/>
      <c r="T135" s="217"/>
      <c r="U135" s="200"/>
      <c r="V135" s="200"/>
      <c r="W135" s="201"/>
      <c r="X135" s="201"/>
      <c r="Y135" s="201"/>
    </row>
    <row r="136" spans="1:25" hidden="1">
      <c r="A136" s="140" t="s">
        <v>286</v>
      </c>
      <c r="B136" s="163">
        <v>46066.961805555555</v>
      </c>
      <c r="C136" s="163"/>
      <c r="D136" s="136" t="s">
        <v>259</v>
      </c>
      <c r="E136" s="140" t="s">
        <v>71</v>
      </c>
      <c r="F136" s="280" t="s">
        <v>72</v>
      </c>
      <c r="G136" s="280"/>
      <c r="H136" s="144" t="s">
        <v>101</v>
      </c>
      <c r="I136" s="140" t="s">
        <v>259</v>
      </c>
      <c r="J136" s="140" t="s">
        <v>42</v>
      </c>
      <c r="K136" s="135" t="str">
        <f>LEFT(Table_2[[#This Row],[Flt. ID]],2)&amp;RIGHT(Table_2[[#This Row],[Flt. ID]],3)</f>
        <v>UO506</v>
      </c>
      <c r="L136" s="131" t="str">
        <f>"H"&amp;ROW(Table_2[[#This Row],[A/C]])+1&amp;":H300"</f>
        <v>H137:H300</v>
      </c>
      <c r="M136" s="164" t="str">
        <f>IFERROR(
    IF(Table_2[[#This Row],[Arr/ Dep]]="A",
        IF(
            INDEX(B137:B381,MATCH(Table_2[[#This Row],[A/C]],H137:H381,0))
            - IF(Table_2[[#This Row],[ETA/ETD]]="",Table_2[[#This Row],[STA/STD]],Table_2[[#This Row],[ETA/ETD]]) &lt; 0,
            "ASAP",
            IF(Table_2[[#This Row],[ETA/ETD]]="",
                INDEX(B137:B381,MATCH(Table_2[[#This Row],[A/C]],H137:H381,0))-Table_2[[#This Row],[STA/STD]],
                INDEX(B137:B381,MATCH(Table_2[[#This Row],[A/C]],H137:H381,0))-Table_2[[#This Row],[ETA/ETD]])
        ),
        ""
    ),
"TBC")</f>
        <v/>
      </c>
      <c r="N136" s="140" t="str" cm="1">
        <f t="array" ref="N13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6" s="135" t="str">
        <f>Table_2[[#This Row],[A/C]]&amp;Table_2[[#This Row],[Column2]]</f>
        <v>BLEIUO506</v>
      </c>
      <c r="Q13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6" s="166" t="str">
        <f>IFERROR(Table_2[[#This Row],[UTC TIME]]-TIME(1,30,0),"")</f>
        <v/>
      </c>
      <c r="S136" s="167"/>
      <c r="T136" s="188"/>
      <c r="U136" s="190"/>
      <c r="V136" s="190"/>
      <c r="W136" s="114"/>
      <c r="X136" s="114"/>
      <c r="Y136" s="114"/>
    </row>
    <row r="137" spans="1:25" hidden="1">
      <c r="A137" s="140" t="s">
        <v>287</v>
      </c>
      <c r="B137" s="163">
        <v>46066.961805555555</v>
      </c>
      <c r="C137" s="163"/>
      <c r="D137" s="136" t="s">
        <v>259</v>
      </c>
      <c r="E137" s="140" t="s">
        <v>71</v>
      </c>
      <c r="F137" s="280" t="s">
        <v>72</v>
      </c>
      <c r="G137" s="280"/>
      <c r="H137" s="144" t="s">
        <v>47</v>
      </c>
      <c r="I137" s="140" t="s">
        <v>259</v>
      </c>
      <c r="J137" s="140" t="s">
        <v>26</v>
      </c>
      <c r="K137" s="135" t="str">
        <f>LEFT(Table_2[[#This Row],[Flt. ID]],2)&amp;RIGHT(Table_2[[#This Row],[Flt. ID]],3)</f>
        <v>UO515</v>
      </c>
      <c r="L137" s="131" t="str">
        <f>"H"&amp;ROW(Table_2[[#This Row],[A/C]])+1&amp;":H300"</f>
        <v>H138:H300</v>
      </c>
      <c r="M137" s="164" t="str">
        <f>IFERROR(
    IF(Table_2[[#This Row],[Arr/ Dep]]="A",
        IF(
            INDEX(B138:B382,MATCH(Table_2[[#This Row],[A/C]],H138:H382,0))
            - IF(Table_2[[#This Row],[ETA/ETD]]="",Table_2[[#This Row],[STA/STD]],Table_2[[#This Row],[ETA/ETD]]) &lt; 0,
            "ASAP",
            IF(Table_2[[#This Row],[ETA/ETD]]="",
                INDEX(B138:B382,MATCH(Table_2[[#This Row],[A/C]],H138:H382,0))-Table_2[[#This Row],[STA/STD]],
                INDEX(B138:B382,MATCH(Table_2[[#This Row],[A/C]],H138:H382,0))-Table_2[[#This Row],[ETA/ETD]])
        ),
        ""
    ),
"TBC")</f>
        <v>TBC</v>
      </c>
      <c r="N137" s="140" t="str" cm="1">
        <f t="array" ref="N13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7" s="135" t="str">
        <f>Table_2[[#This Row],[A/C]]&amp;Table_2[[#This Row],[Column2]]</f>
        <v>BLEHUO515</v>
      </c>
      <c r="Q13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7" s="166" t="str">
        <f>IFERROR(Table_2[[#This Row],[UTC TIME]]-TIME(1,30,0),"")</f>
        <v/>
      </c>
      <c r="S137" s="167"/>
      <c r="T137" s="189"/>
      <c r="U137" s="230"/>
      <c r="V137" s="230"/>
      <c r="W137" s="231"/>
      <c r="X137" s="231"/>
      <c r="Y137" s="231"/>
    </row>
    <row r="138" spans="1:25" hidden="1">
      <c r="A138" s="140" t="s">
        <v>288</v>
      </c>
      <c r="B138" s="163">
        <v>46066.961805555555</v>
      </c>
      <c r="C138" s="163"/>
      <c r="D138" s="136" t="s">
        <v>259</v>
      </c>
      <c r="E138" s="140" t="s">
        <v>128</v>
      </c>
      <c r="F138" s="280" t="s">
        <v>129</v>
      </c>
      <c r="G138" s="280"/>
      <c r="H138" s="144" t="s">
        <v>175</v>
      </c>
      <c r="I138" s="140" t="s">
        <v>259</v>
      </c>
      <c r="J138" s="140" t="s">
        <v>26</v>
      </c>
      <c r="K138" s="135" t="str">
        <f>LEFT(Table_2[[#This Row],[Flt. ID]],2)&amp;RIGHT(Table_2[[#This Row],[Flt. ID]],3)</f>
        <v>UO569</v>
      </c>
      <c r="L138" s="131" t="str">
        <f>"H"&amp;ROW(Table_2[[#This Row],[A/C]])+1&amp;":H300"</f>
        <v>H139:H300</v>
      </c>
      <c r="M138" s="164" t="str">
        <f>IFERROR(
    IF(Table_2[[#This Row],[Arr/ Dep]]="A",
        IF(
            INDEX(B139:B383,MATCH(Table_2[[#This Row],[A/C]],H139:H383,0))
            - IF(Table_2[[#This Row],[ETA/ETD]]="",Table_2[[#This Row],[STA/STD]],Table_2[[#This Row],[ETA/ETD]]) &lt; 0,
            "ASAP",
            IF(Table_2[[#This Row],[ETA/ETD]]="",
                INDEX(B139:B383,MATCH(Table_2[[#This Row],[A/C]],H139:H383,0))-Table_2[[#This Row],[STA/STD]],
                INDEX(B139:B383,MATCH(Table_2[[#This Row],[A/C]],H139:H383,0))-Table_2[[#This Row],[ETA/ETD]])
        ),
        ""
    ),
"TBC")</f>
        <v>TBC</v>
      </c>
      <c r="N138" s="140" t="str" cm="1">
        <f t="array" ref="N13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8" s="135" t="str">
        <f>Table_2[[#This Row],[A/C]]&amp;Table_2[[#This Row],[Column2]]</f>
        <v>BHTIUO569</v>
      </c>
      <c r="Q13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8" s="166" t="str">
        <f>IFERROR(Table_2[[#This Row],[UTC TIME]]-TIME(1,30,0),"")</f>
        <v/>
      </c>
      <c r="S138" s="167"/>
      <c r="T138" s="188"/>
      <c r="U138" s="190"/>
      <c r="V138" s="190"/>
      <c r="W138" s="114"/>
      <c r="X138" s="114"/>
      <c r="Y138" s="114"/>
    </row>
    <row r="139" spans="1:25">
      <c r="A139" s="140" t="s">
        <v>290</v>
      </c>
      <c r="B139" s="163">
        <v>46066.975694444445</v>
      </c>
      <c r="C139" s="163"/>
      <c r="D139" s="136" t="s">
        <v>259</v>
      </c>
      <c r="E139" s="140" t="s">
        <v>182</v>
      </c>
      <c r="F139" s="280" t="s">
        <v>183</v>
      </c>
      <c r="G139" s="280"/>
      <c r="H139" s="144" t="s">
        <v>153</v>
      </c>
      <c r="I139" s="140" t="s">
        <v>259</v>
      </c>
      <c r="J139" s="140" t="s">
        <v>26</v>
      </c>
      <c r="K139" s="135" t="str">
        <f>LEFT(Table_2[[#This Row],[Flt. ID]],2)&amp;RIGHT(Table_2[[#This Row],[Flt. ID]],3)</f>
        <v>UO117</v>
      </c>
      <c r="L139" s="131" t="str">
        <f>"H"&amp;ROW(Table_2[[#This Row],[A/C]])+1&amp;":H300"</f>
        <v>H140:H300</v>
      </c>
      <c r="M139" s="164" t="str">
        <f>IFERROR(
    IF(Table_2[[#This Row],[Arr/ Dep]]="A",
        IF(
            INDEX(B140:B384,MATCH(Table_2[[#This Row],[A/C]],H140:H384,0))
            - IF(Table_2[[#This Row],[ETA/ETD]]="",Table_2[[#This Row],[STA/STD]],Table_2[[#This Row],[ETA/ETD]]) &lt; 0,
            "ASAP",
            IF(Table_2[[#This Row],[ETA/ETD]]="",
                INDEX(B140:B384,MATCH(Table_2[[#This Row],[A/C]],H140:H384,0))-Table_2[[#This Row],[STA/STD]],
                INDEX(B140:B384,MATCH(Table_2[[#This Row],[A/C]],H140:H384,0))-Table_2[[#This Row],[ETA/ETD]])
        ),
        ""
    ),
"TBC")</f>
        <v>TBC</v>
      </c>
      <c r="N139" s="140" t="str" cm="1">
        <f t="array" ref="N13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3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39" s="135" t="str">
        <f>Table_2[[#This Row],[A/C]]&amp;Table_2[[#This Row],[Column2]]</f>
        <v>BKKMUO117</v>
      </c>
      <c r="Q13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39" s="166" t="str">
        <f>IFERROR(Table_2[[#This Row],[UTC TIME]]-TIME(1,30,0),"")</f>
        <v/>
      </c>
      <c r="S139" s="167"/>
      <c r="T139" s="191"/>
      <c r="U139" s="190"/>
      <c r="V139" s="190"/>
      <c r="W139" s="114"/>
      <c r="X139" s="114"/>
      <c r="Y139" s="114"/>
    </row>
    <row r="140" spans="1:25">
      <c r="A140" s="140" t="s">
        <v>334</v>
      </c>
      <c r="B140" s="163">
        <v>46066.975694444445</v>
      </c>
      <c r="C140" s="163"/>
      <c r="D140" s="136" t="s">
        <v>259</v>
      </c>
      <c r="E140" s="140" t="s">
        <v>324</v>
      </c>
      <c r="F140" s="280" t="s">
        <v>325</v>
      </c>
      <c r="G140" s="280"/>
      <c r="H140" s="144" t="s">
        <v>89</v>
      </c>
      <c r="I140" s="140" t="s">
        <v>259</v>
      </c>
      <c r="J140" s="140" t="s">
        <v>26</v>
      </c>
      <c r="K140" s="135" t="str">
        <f>LEFT(Table_2[[#This Row],[Flt. ID]],2)&amp;RIGHT(Table_2[[#This Row],[Flt. ID]],3)</f>
        <v>UO273</v>
      </c>
      <c r="L140" s="131" t="str">
        <f>"H"&amp;ROW(Table_2[[#This Row],[A/C]])+1&amp;":H300"</f>
        <v>H141:H300</v>
      </c>
      <c r="M140" s="164" t="str">
        <f>IFERROR(
    IF(Table_2[[#This Row],[Arr/ Dep]]="A",
        IF(
            INDEX(B141:B385,MATCH(Table_2[[#This Row],[A/C]],H141:H385,0))
            - IF(Table_2[[#This Row],[ETA/ETD]]="",Table_2[[#This Row],[STA/STD]],Table_2[[#This Row],[ETA/ETD]]) &lt; 0,
            "ASAP",
            IF(Table_2[[#This Row],[ETA/ETD]]="",
                INDEX(B141:B385,MATCH(Table_2[[#This Row],[A/C]],H141:H385,0))-Table_2[[#This Row],[STA/STD]],
                INDEX(B141:B385,MATCH(Table_2[[#This Row],[A/C]],H141:H385,0))-Table_2[[#This Row],[ETA/ETD]])
        ),
        ""
    ),
"TBC")</f>
        <v>TBC</v>
      </c>
      <c r="N140" s="140" t="str" cm="1">
        <f t="array" ref="N14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SCH,SCH,72H</v>
      </c>
      <c r="O14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0" s="135" t="str">
        <f>Table_2[[#This Row],[A/C]]&amp;Table_2[[#This Row],[Column2]]</f>
        <v>BLCIUO273</v>
      </c>
      <c r="Q14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0" s="166" t="str">
        <f>IFERROR(Table_2[[#This Row],[UTC TIME]]-TIME(1,30,0),"")</f>
        <v/>
      </c>
      <c r="S140" s="167"/>
      <c r="T140" s="186"/>
      <c r="U140" s="114"/>
      <c r="V140" s="114"/>
      <c r="W140" s="114"/>
      <c r="X140" s="114"/>
      <c r="Y140" s="114"/>
    </row>
    <row r="141" spans="1:25">
      <c r="A141" s="140" t="s">
        <v>291</v>
      </c>
      <c r="B141" s="163">
        <v>46066.975694444445</v>
      </c>
      <c r="C141" s="163"/>
      <c r="D141" s="136" t="s">
        <v>259</v>
      </c>
      <c r="E141" s="140" t="s">
        <v>119</v>
      </c>
      <c r="F141" s="280" t="s">
        <v>120</v>
      </c>
      <c r="G141" s="280"/>
      <c r="H141" s="144" t="s">
        <v>54</v>
      </c>
      <c r="I141" s="140" t="s">
        <v>259</v>
      </c>
      <c r="J141" s="140" t="s">
        <v>26</v>
      </c>
      <c r="K141" s="135" t="str">
        <f>LEFT(Table_2[[#This Row],[Flt. ID]],2)&amp;RIGHT(Table_2[[#This Row],[Flt. ID]],3)</f>
        <v>UO755</v>
      </c>
      <c r="L141" s="131" t="str">
        <f>"H"&amp;ROW(Table_2[[#This Row],[A/C]])+1&amp;":H300"</f>
        <v>H142:H300</v>
      </c>
      <c r="M141" s="164">
        <f>IFERROR(
    IF(Table_2[[#This Row],[Arr/ Dep]]="A",
        IF(
            INDEX(B142:B386,MATCH(Table_2[[#This Row],[A/C]],H142:H386,0))
            - IF(Table_2[[#This Row],[ETA/ETD]]="",Table_2[[#This Row],[STA/STD]],Table_2[[#This Row],[ETA/ETD]]) &lt; 0,
            "ASAP",
            IF(Table_2[[#This Row],[ETA/ETD]]="",
                INDEX(B142:B386,MATCH(Table_2[[#This Row],[A/C]],H142:H386,0))-Table_2[[#This Row],[STA/STD]],
                INDEX(B142:B386,MATCH(Table_2[[#This Row],[A/C]],H142:H386,0))-Table_2[[#This Row],[ETA/ETD]])
        ),
        ""
    ),
"TBC")</f>
        <v>0.34375</v>
      </c>
      <c r="N141" s="140" t="str" cm="1">
        <f t="array" ref="N14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4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1" s="135" t="str">
        <f>Table_2[[#This Row],[A/C]]&amp;Table_2[[#This Row],[Column2]]</f>
        <v>BKKEUO755</v>
      </c>
      <c r="Q14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1" s="166" t="str">
        <f>IFERROR(Table_2[[#This Row],[UTC TIME]]-TIME(1,30,0),"")</f>
        <v/>
      </c>
      <c r="S141" s="167"/>
      <c r="T141" s="187"/>
      <c r="U141" s="114"/>
      <c r="V141" s="114"/>
      <c r="W141" s="114"/>
      <c r="X141" s="114"/>
      <c r="Y141" s="114"/>
    </row>
    <row r="142" spans="1:25">
      <c r="A142" s="140" t="s">
        <v>292</v>
      </c>
      <c r="B142" s="163">
        <v>46066.979166666664</v>
      </c>
      <c r="C142" s="163"/>
      <c r="D142" s="136" t="s">
        <v>259</v>
      </c>
      <c r="E142" s="140" t="s">
        <v>28</v>
      </c>
      <c r="F142" s="280" t="s">
        <v>29</v>
      </c>
      <c r="G142" s="280"/>
      <c r="H142" s="144" t="s">
        <v>30</v>
      </c>
      <c r="I142" s="140" t="s">
        <v>259</v>
      </c>
      <c r="J142" s="140" t="s">
        <v>26</v>
      </c>
      <c r="K142" s="135" t="str">
        <f>LEFT(Table_2[[#This Row],[Flt. ID]],2)&amp;RIGHT(Table_2[[#This Row],[Flt. ID]],3)</f>
        <v>UO647</v>
      </c>
      <c r="L142" s="131" t="str">
        <f>"H"&amp;ROW(Table_2[[#This Row],[A/C]])+1&amp;":H300"</f>
        <v>H143:H300</v>
      </c>
      <c r="M142" s="164">
        <f>IFERROR(
    IF(Table_2[[#This Row],[Arr/ Dep]]="A",
        IF(
            INDEX(B143:B387,MATCH(Table_2[[#This Row],[A/C]],H143:H387,0))
            - IF(Table_2[[#This Row],[ETA/ETD]]="",Table_2[[#This Row],[STA/STD]],Table_2[[#This Row],[ETA/ETD]]) &lt; 0,
            "ASAP",
            IF(Table_2[[#This Row],[ETA/ETD]]="",
                INDEX(B143:B387,MATCH(Table_2[[#This Row],[A/C]],H143:H387,0))-Table_2[[#This Row],[STA/STD]],
                INDEX(B143:B387,MATCH(Table_2[[#This Row],[A/C]],H143:H387,0))-Table_2[[#This Row],[ETA/ETD]])
        ),
        ""
    ),
"TBC")</f>
        <v>0.13541666667151731</v>
      </c>
      <c r="N142" s="140" t="str" cm="1">
        <f t="array" ref="N14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4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2" s="135" t="str">
        <f>Table_2[[#This Row],[A/C]]&amp;Table_2[[#This Row],[Column2]]</f>
        <v>BKKJUO647</v>
      </c>
      <c r="Q14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2" s="166" t="str">
        <f>IFERROR(Table_2[[#This Row],[UTC TIME]]-TIME(1,30,0),"")</f>
        <v/>
      </c>
      <c r="S142" s="167"/>
      <c r="T142" s="186"/>
      <c r="U142" s="190"/>
      <c r="V142" s="190"/>
      <c r="W142" s="114"/>
      <c r="X142" s="114"/>
      <c r="Y142" s="114"/>
    </row>
    <row r="143" spans="1:25">
      <c r="A143" s="140" t="s">
        <v>293</v>
      </c>
      <c r="B143" s="163">
        <v>46066.989583333336</v>
      </c>
      <c r="C143" s="163"/>
      <c r="D143" s="136" t="s">
        <v>259</v>
      </c>
      <c r="E143" s="140" t="s">
        <v>125</v>
      </c>
      <c r="F143" s="280" t="s">
        <v>126</v>
      </c>
      <c r="G143" s="280"/>
      <c r="H143" s="144" t="s">
        <v>24</v>
      </c>
      <c r="I143" s="140" t="s">
        <v>259</v>
      </c>
      <c r="J143" s="140" t="s">
        <v>26</v>
      </c>
      <c r="K143" s="135" t="str">
        <f>LEFT(Table_2[[#This Row],[Flt. ID]],2)&amp;RIGHT(Table_2[[#This Row],[Flt. ID]],3)</f>
        <v>UO713</v>
      </c>
      <c r="L143" s="131" t="str">
        <f>"H"&amp;ROW(Table_2[[#This Row],[A/C]])+1&amp;":H300"</f>
        <v>H144:H300</v>
      </c>
      <c r="M143" s="164" t="str">
        <f>IFERROR(
    IF(Table_2[[#This Row],[Arr/ Dep]]="A",
        IF(
            INDEX(B144:B388,MATCH(Table_2[[#This Row],[A/C]],H144:H388,0))
            - IF(Table_2[[#This Row],[ETA/ETD]]="",Table_2[[#This Row],[STA/STD]],Table_2[[#This Row],[ETA/ETD]]) &lt; 0,
            "ASAP",
            IF(Table_2[[#This Row],[ETA/ETD]]="",
                INDEX(B144:B388,MATCH(Table_2[[#This Row],[A/C]],H144:H388,0))-Table_2[[#This Row],[STA/STD]],
                INDEX(B144:B388,MATCH(Table_2[[#This Row],[A/C]],H144:H388,0))-Table_2[[#This Row],[ETA/ETD]])
        ),
        ""
    ),
"TBC")</f>
        <v>TBC</v>
      </c>
      <c r="N143" s="140" t="str" cm="1">
        <f t="array" ref="N14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</v>
      </c>
      <c r="O14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3" s="135" t="str">
        <f>Table_2[[#This Row],[A/C]]&amp;Table_2[[#This Row],[Column2]]</f>
        <v>BLCSUO713</v>
      </c>
      <c r="Q14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3" s="166" t="str">
        <f>IFERROR(Table_2[[#This Row],[UTC TIME]]-TIME(1,30,0),"")</f>
        <v/>
      </c>
      <c r="S143" s="167"/>
      <c r="T143" s="186"/>
      <c r="U143" s="232"/>
      <c r="V143" s="232"/>
      <c r="W143" s="233"/>
      <c r="X143" s="233"/>
      <c r="Y143" s="233"/>
    </row>
    <row r="144" spans="1:25">
      <c r="A144" s="140" t="s">
        <v>295</v>
      </c>
      <c r="B144" s="163">
        <v>46066.996527777781</v>
      </c>
      <c r="C144" s="163"/>
      <c r="D144" s="136" t="s">
        <v>259</v>
      </c>
      <c r="E144" s="140" t="s">
        <v>66</v>
      </c>
      <c r="F144" s="280" t="s">
        <v>67</v>
      </c>
      <c r="G144" s="280"/>
      <c r="H144" s="144" t="s">
        <v>172</v>
      </c>
      <c r="I144" s="140" t="s">
        <v>259</v>
      </c>
      <c r="J144" s="140" t="s">
        <v>42</v>
      </c>
      <c r="K144" s="135" t="str">
        <f>LEFT(Table_2[[#This Row],[Flt. ID]],2)&amp;RIGHT(Table_2[[#This Row],[Flt. ID]],3)</f>
        <v>UO624</v>
      </c>
      <c r="L144" s="131" t="str">
        <f>"H"&amp;ROW(Table_2[[#This Row],[A/C]])+1&amp;":H300"</f>
        <v>H145:H300</v>
      </c>
      <c r="M144" s="164" t="str">
        <f>IFERROR(
    IF(Table_2[[#This Row],[Arr/ Dep]]="A",
        IF(
            INDEX(B145:B389,MATCH(Table_2[[#This Row],[A/C]],H145:H389,0))
            - IF(Table_2[[#This Row],[ETA/ETD]]="",Table_2[[#This Row],[STA/STD]],Table_2[[#This Row],[ETA/ETD]]) &lt; 0,
            "ASAP",
            IF(Table_2[[#This Row],[ETA/ETD]]="",
                INDEX(B145:B389,MATCH(Table_2[[#This Row],[A/C]],H145:H389,0))-Table_2[[#This Row],[STA/STD]],
                INDEX(B145:B389,MATCH(Table_2[[#This Row],[A/C]],H145:H389,0))-Table_2[[#This Row],[ETA/ETD]])
        ),
        ""
    ),
"TBC")</f>
        <v/>
      </c>
      <c r="N144" s="140" t="str" cm="1">
        <f t="array" ref="N14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4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4" s="135" t="str">
        <f>Table_2[[#This Row],[A/C]]&amp;Table_2[[#This Row],[Column2]]</f>
        <v>BKKQUO624</v>
      </c>
      <c r="Q14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4" s="166" t="str">
        <f>IFERROR(Table_2[[#This Row],[UTC TIME]]-TIME(1,30,0),"")</f>
        <v/>
      </c>
      <c r="S144" s="167"/>
      <c r="T144" s="186"/>
      <c r="U144" s="190"/>
      <c r="V144" s="190"/>
      <c r="W144" s="114"/>
      <c r="X144" s="114"/>
      <c r="Y144" s="114"/>
    </row>
    <row r="145" spans="1:25" hidden="1">
      <c r="A145" s="140" t="s">
        <v>21</v>
      </c>
      <c r="B145" s="163">
        <v>46067.003472222219</v>
      </c>
      <c r="C145" s="163"/>
      <c r="D145" s="136" t="s">
        <v>259</v>
      </c>
      <c r="E145" s="140" t="s">
        <v>22</v>
      </c>
      <c r="F145" s="280" t="s">
        <v>23</v>
      </c>
      <c r="G145" s="280"/>
      <c r="H145" s="144" t="s">
        <v>163</v>
      </c>
      <c r="I145" s="140" t="s">
        <v>259</v>
      </c>
      <c r="J145" s="140" t="s">
        <v>26</v>
      </c>
      <c r="K145" s="135" t="str">
        <f>LEFT(Table_2[[#This Row],[Flt. ID]],2)&amp;RIGHT(Table_2[[#This Row],[Flt. ID]],3)</f>
        <v>UO689</v>
      </c>
      <c r="L145" s="131" t="str">
        <f>"H"&amp;ROW(Table_2[[#This Row],[A/C]])+1&amp;":H300"</f>
        <v>H146:H300</v>
      </c>
      <c r="M145" s="164" t="str">
        <f>IFERROR(
    IF(Table_2[[#This Row],[Arr/ Dep]]="A",
        IF(
            INDEX(B146:B390,MATCH(Table_2[[#This Row],[A/C]],H146:H390,0))
            - IF(Table_2[[#This Row],[ETA/ETD]]="",Table_2[[#This Row],[STA/STD]],Table_2[[#This Row],[ETA/ETD]]) &lt; 0,
            "ASAP",
            IF(Table_2[[#This Row],[ETA/ETD]]="",
                INDEX(B146:B390,MATCH(Table_2[[#This Row],[A/C]],H146:H390,0))-Table_2[[#This Row],[STA/STD]],
                INDEX(B146:B390,MATCH(Table_2[[#This Row],[A/C]],H146:H390,0))-Table_2[[#This Row],[ETA/ETD]])
        ),
        ""
    ),
"TBC")</f>
        <v>TBC</v>
      </c>
      <c r="N145" s="140" t="str" cm="1">
        <f t="array" ref="N14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DEFECT,SCH,72H</v>
      </c>
      <c r="O14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5" s="135" t="str">
        <f>Table_2[[#This Row],[A/C]]&amp;Table_2[[#This Row],[Column2]]</f>
        <v>BKKBUO689</v>
      </c>
      <c r="Q14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5" s="166" t="str">
        <f>IFERROR(Table_2[[#This Row],[UTC TIME]]-TIME(1,30,0),"")</f>
        <v/>
      </c>
      <c r="S145" s="167"/>
      <c r="T145" s="186"/>
      <c r="U145" s="190"/>
      <c r="V145" s="190"/>
      <c r="W145" s="114"/>
      <c r="X145" s="114"/>
      <c r="Y145" s="114"/>
    </row>
    <row r="146" spans="1:25" hidden="1">
      <c r="A146" s="140" t="s">
        <v>27</v>
      </c>
      <c r="B146" s="163">
        <v>46067.024305555555</v>
      </c>
      <c r="C146" s="163"/>
      <c r="D146" s="136" t="s">
        <v>259</v>
      </c>
      <c r="E146" s="140" t="s">
        <v>28</v>
      </c>
      <c r="F146" s="280" t="s">
        <v>29</v>
      </c>
      <c r="G146" s="280"/>
      <c r="H146" s="144" t="s">
        <v>84</v>
      </c>
      <c r="I146" s="140" t="s">
        <v>259</v>
      </c>
      <c r="J146" s="140" t="s">
        <v>26</v>
      </c>
      <c r="K146" s="135" t="str">
        <f>LEFT(Table_2[[#This Row],[Flt. ID]],2)&amp;RIGHT(Table_2[[#This Row],[Flt. ID]],3)</f>
        <v>UO651</v>
      </c>
      <c r="L146" s="131" t="str">
        <f>"H"&amp;ROW(Table_2[[#This Row],[A/C]])+1&amp;":H300"</f>
        <v>H147:H300</v>
      </c>
      <c r="M146" s="164" t="str">
        <f>IFERROR(
    IF(Table_2[[#This Row],[Arr/ Dep]]="A",
        IF(
            INDEX(B147:B391,MATCH(Table_2[[#This Row],[A/C]],H147:H391,0))
            - IF(Table_2[[#This Row],[ETA/ETD]]="",Table_2[[#This Row],[STA/STD]],Table_2[[#This Row],[ETA/ETD]]) &lt; 0,
            "ASAP",
            IF(Table_2[[#This Row],[ETA/ETD]]="",
                INDEX(B147:B391,MATCH(Table_2[[#This Row],[A/C]],H147:H391,0))-Table_2[[#This Row],[STA/STD]],
                INDEX(B147:B391,MATCH(Table_2[[#This Row],[A/C]],H147:H391,0))-Table_2[[#This Row],[ETA/ETD]])
        ),
        ""
    ),
"TBC")</f>
        <v>TBC</v>
      </c>
      <c r="N146" s="140" t="str" cm="1">
        <f t="array" ref="N14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14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6" s="135" t="str">
        <f>Table_2[[#This Row],[A/C]]&amp;Table_2[[#This Row],[Column2]]</f>
        <v>BKKGUO651</v>
      </c>
      <c r="Q14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6" s="166" t="str">
        <f>IFERROR(Table_2[[#This Row],[UTC TIME]]-TIME(1,30,0),"")</f>
        <v/>
      </c>
      <c r="S146" s="167"/>
      <c r="T146" s="187"/>
      <c r="U146" s="190"/>
      <c r="V146" s="190"/>
      <c r="W146" s="114"/>
      <c r="X146" s="114"/>
      <c r="Y146" s="114"/>
    </row>
    <row r="147" spans="1:25" hidden="1">
      <c r="A147" s="140" t="s">
        <v>1115</v>
      </c>
      <c r="B147" s="163">
        <v>46067.027777777781</v>
      </c>
      <c r="C147" s="163"/>
      <c r="D147" s="136" t="s">
        <v>259</v>
      </c>
      <c r="E147" s="140" t="s">
        <v>116</v>
      </c>
      <c r="F147" s="280" t="s">
        <v>117</v>
      </c>
      <c r="G147" s="280"/>
      <c r="H147" s="144" t="s">
        <v>184</v>
      </c>
      <c r="I147" s="140" t="s">
        <v>259</v>
      </c>
      <c r="J147" s="140" t="s">
        <v>26</v>
      </c>
      <c r="K147" s="135" t="str">
        <f>LEFT(Table_2[[#This Row],[Flt. ID]],2)&amp;RIGHT(Table_2[[#This Row],[Flt. ID]],3)</f>
        <v>UO543</v>
      </c>
      <c r="L147" s="131" t="str">
        <f>"H"&amp;ROW(Table_2[[#This Row],[A/C]])+1&amp;":H300"</f>
        <v>H148:H300</v>
      </c>
      <c r="M147" s="164">
        <f>IFERROR(
    IF(Table_2[[#This Row],[Arr/ Dep]]="A",
        IF(
            INDEX(B148:B392,MATCH(Table_2[[#This Row],[A/C]],H148:H392,0))
            - IF(Table_2[[#This Row],[ETA/ETD]]="",Table_2[[#This Row],[STA/STD]],Table_2[[#This Row],[ETA/ETD]]) &lt; 0,
            "ASAP",
            IF(Table_2[[#This Row],[ETA/ETD]]="",
                INDEX(B148:B392,MATCH(Table_2[[#This Row],[A/C]],H148:H392,0))-Table_2[[#This Row],[STA/STD]],
                INDEX(B148:B392,MATCH(Table_2[[#This Row],[A/C]],H148:H392,0))-Table_2[[#This Row],[ETA/ETD]])
        ),
        ""
    ),
"TBC")</f>
        <v>0.30208333332848269</v>
      </c>
      <c r="N147" s="140" t="str" cm="1">
        <f t="array" ref="N14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4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7" s="135" t="str">
        <f>Table_2[[#This Row],[A/C]]&amp;Table_2[[#This Row],[Column2]]</f>
        <v>BLELUO543</v>
      </c>
      <c r="Q14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7" s="166" t="str">
        <f>IFERROR(Table_2[[#This Row],[UTC TIME]]-TIME(1,30,0),"")</f>
        <v/>
      </c>
      <c r="S147" s="167"/>
      <c r="T147" s="192"/>
      <c r="U147" s="190"/>
      <c r="V147" s="190"/>
      <c r="W147" s="114"/>
      <c r="X147" s="114"/>
      <c r="Y147" s="114"/>
    </row>
    <row r="148" spans="1:25" hidden="1">
      <c r="A148" s="140" t="s">
        <v>32</v>
      </c>
      <c r="B148" s="163">
        <v>46067.034722222219</v>
      </c>
      <c r="C148" s="163">
        <v>46067.059027777781</v>
      </c>
      <c r="D148" s="136" t="s">
        <v>259</v>
      </c>
      <c r="E148" s="140" t="s">
        <v>33</v>
      </c>
      <c r="F148" s="280" t="s">
        <v>34</v>
      </c>
      <c r="G148" s="280"/>
      <c r="H148" s="144" t="s">
        <v>73</v>
      </c>
      <c r="I148" s="140" t="s">
        <v>259</v>
      </c>
      <c r="J148" s="140" t="s">
        <v>26</v>
      </c>
      <c r="K148" s="135" t="str">
        <f>LEFT(Table_2[[#This Row],[Flt. ID]],2)&amp;RIGHT(Table_2[[#This Row],[Flt. ID]],3)</f>
        <v>UO685</v>
      </c>
      <c r="L148" s="131" t="str">
        <f>"H"&amp;ROW(Table_2[[#This Row],[A/C]])+1&amp;":H300"</f>
        <v>H149:H300</v>
      </c>
      <c r="M148" s="164" t="str">
        <f>IFERROR(
    IF(Table_2[[#This Row],[Arr/ Dep]]="A",
        IF(
            INDEX(B149:B393,MATCH(Table_2[[#This Row],[A/C]],H149:H393,0))
            - IF(Table_2[[#This Row],[ETA/ETD]]="",Table_2[[#This Row],[STA/STD]],Table_2[[#This Row],[ETA/ETD]]) &lt; 0,
            "ASAP",
            IF(Table_2[[#This Row],[ETA/ETD]]="",
                INDEX(B149:B393,MATCH(Table_2[[#This Row],[A/C]],H149:H393,0))-Table_2[[#This Row],[STA/STD]],
                INDEX(B149:B393,MATCH(Table_2[[#This Row],[A/C]],H149:H393,0))-Table_2[[#This Row],[ETA/ETD]])
        ),
        ""
    ),
"TBC")</f>
        <v>TBC</v>
      </c>
      <c r="N148" s="140" t="str" cm="1">
        <f t="array" ref="N14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SCH,72H</v>
      </c>
      <c r="O14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8" s="135" t="str">
        <f>Table_2[[#This Row],[A/C]]&amp;Table_2[[#This Row],[Column2]]</f>
        <v>BKKLUO685</v>
      </c>
      <c r="Q14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8" s="166" t="str">
        <f>IFERROR(Table_2[[#This Row],[UTC TIME]]-TIME(1,30,0),"")</f>
        <v/>
      </c>
      <c r="S148" s="167"/>
      <c r="T148" s="186"/>
      <c r="U148" s="232"/>
      <c r="V148" s="232"/>
      <c r="W148" s="233"/>
      <c r="X148" s="233"/>
      <c r="Y148" s="233"/>
    </row>
    <row r="149" spans="1:25" hidden="1">
      <c r="A149" s="140" t="s">
        <v>37</v>
      </c>
      <c r="B149" s="163">
        <v>46067.038194444445</v>
      </c>
      <c r="C149" s="163"/>
      <c r="D149" s="136" t="s">
        <v>259</v>
      </c>
      <c r="E149" s="140" t="s">
        <v>38</v>
      </c>
      <c r="F149" s="280" t="s">
        <v>39</v>
      </c>
      <c r="G149" s="280"/>
      <c r="H149" s="144" t="s">
        <v>113</v>
      </c>
      <c r="I149" s="140" t="s">
        <v>259</v>
      </c>
      <c r="J149" s="140" t="s">
        <v>42</v>
      </c>
      <c r="K149" s="135" t="str">
        <f>LEFT(Table_2[[#This Row],[Flt. ID]],2)&amp;RIGHT(Table_2[[#This Row],[Flt. ID]],3)</f>
        <v>UO616</v>
      </c>
      <c r="L149" s="131" t="str">
        <f>"H"&amp;ROW(Table_2[[#This Row],[A/C]])+1&amp;":H300"</f>
        <v>H150:H300</v>
      </c>
      <c r="M149" s="164" t="str">
        <f>IFERROR(
    IF(Table_2[[#This Row],[Arr/ Dep]]="A",
        IF(
            INDEX(B150:B394,MATCH(Table_2[[#This Row],[A/C]],H150:H394,0))
            - IF(Table_2[[#This Row],[ETA/ETD]]="",Table_2[[#This Row],[STA/STD]],Table_2[[#This Row],[ETA/ETD]]) &lt; 0,
            "ASAP",
            IF(Table_2[[#This Row],[ETA/ETD]]="",
                INDEX(B150:B394,MATCH(Table_2[[#This Row],[A/C]],H150:H394,0))-Table_2[[#This Row],[STA/STD]],
                INDEX(B150:B394,MATCH(Table_2[[#This Row],[A/C]],H150:H394,0))-Table_2[[#This Row],[ETA/ETD]])
        ),
        ""
    ),
"TBC")</f>
        <v/>
      </c>
      <c r="N149" s="140" t="str" cm="1">
        <f t="array" ref="N14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4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49" s="135" t="str">
        <f>Table_2[[#This Row],[A/C]]&amp;Table_2[[#This Row],[Column2]]</f>
        <v>BKKIUO616</v>
      </c>
      <c r="Q14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49" s="166" t="str">
        <f>IFERROR(Table_2[[#This Row],[UTC TIME]]-TIME(1,30,0),"")</f>
        <v/>
      </c>
      <c r="S149" s="167"/>
      <c r="T149" s="186"/>
      <c r="U149" s="114"/>
      <c r="V149" s="114"/>
      <c r="W149" s="114"/>
      <c r="X149" s="114"/>
      <c r="Y149" s="114"/>
    </row>
    <row r="150" spans="1:25" hidden="1">
      <c r="A150" s="140" t="s">
        <v>43</v>
      </c>
      <c r="B150" s="163">
        <v>46067.038194444445</v>
      </c>
      <c r="C150" s="163"/>
      <c r="D150" s="136" t="s">
        <v>259</v>
      </c>
      <c r="E150" s="140" t="s">
        <v>38</v>
      </c>
      <c r="F150" s="280" t="s">
        <v>39</v>
      </c>
      <c r="G150" s="280"/>
      <c r="H150" s="144" t="s">
        <v>92</v>
      </c>
      <c r="I150" s="140" t="s">
        <v>259</v>
      </c>
      <c r="J150" s="140" t="s">
        <v>26</v>
      </c>
      <c r="K150" s="135" t="str">
        <f>LEFT(Table_2[[#This Row],[Flt. ID]],2)&amp;RIGHT(Table_2[[#This Row],[Flt. ID]],3)</f>
        <v>UO627</v>
      </c>
      <c r="L150" s="131" t="str">
        <f>"H"&amp;ROW(Table_2[[#This Row],[A/C]])+1&amp;":H300"</f>
        <v>H151:H300</v>
      </c>
      <c r="M150" s="164">
        <f>IFERROR(
    IF(Table_2[[#This Row],[Arr/ Dep]]="A",
        IF(
            INDEX(B151:B395,MATCH(Table_2[[#This Row],[A/C]],H151:H395,0))
            - IF(Table_2[[#This Row],[ETA/ETD]]="",Table_2[[#This Row],[STA/STD]],Table_2[[#This Row],[ETA/ETD]]) &lt; 0,
            "ASAP",
            IF(Table_2[[#This Row],[ETA/ETD]]="",
                INDEX(B151:B395,MATCH(Table_2[[#This Row],[A/C]],H151:H395,0))-Table_2[[#This Row],[STA/STD]],
                INDEX(B151:B395,MATCH(Table_2[[#This Row],[A/C]],H151:H395,0))-Table_2[[#This Row],[ETA/ETD]])
        ),
        ""
    ),
"TBC")</f>
        <v>4.5138888890505768E-2</v>
      </c>
      <c r="N150" s="140" t="str" cm="1">
        <f t="array" ref="N15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0" s="135" t="str">
        <f>Table_2[[#This Row],[A/C]]&amp;Table_2[[#This Row],[Column2]]</f>
        <v>BKKNUO627</v>
      </c>
      <c r="Q15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0" s="166" t="str">
        <f>IFERROR(Table_2[[#This Row],[UTC TIME]]-TIME(1,30,0),"")</f>
        <v/>
      </c>
      <c r="S150" s="167"/>
      <c r="T150" s="186"/>
      <c r="U150" s="190"/>
      <c r="V150" s="190"/>
      <c r="W150" s="190"/>
      <c r="X150" s="190"/>
      <c r="Y150" s="190"/>
    </row>
    <row r="151" spans="1:25" hidden="1">
      <c r="A151" s="140" t="s">
        <v>46</v>
      </c>
      <c r="B151" s="163">
        <v>46067.038194444445</v>
      </c>
      <c r="C151" s="163"/>
      <c r="D151" s="136" t="s">
        <v>259</v>
      </c>
      <c r="E151" s="140" t="s">
        <v>22</v>
      </c>
      <c r="F151" s="280" t="s">
        <v>23</v>
      </c>
      <c r="G151" s="280"/>
      <c r="H151" s="144" t="s">
        <v>82</v>
      </c>
      <c r="I151" s="140" t="s">
        <v>259</v>
      </c>
      <c r="J151" s="140" t="s">
        <v>26</v>
      </c>
      <c r="K151" s="135" t="str">
        <f>LEFT(Table_2[[#This Row],[Flt. ID]],2)&amp;RIGHT(Table_2[[#This Row],[Flt. ID]],3)</f>
        <v>UO863</v>
      </c>
      <c r="L151" s="131" t="str">
        <f>"H"&amp;ROW(Table_2[[#This Row],[A/C]])+1&amp;":H300"</f>
        <v>H152:H300</v>
      </c>
      <c r="M151" s="164" t="str">
        <f>IFERROR(
    IF(Table_2[[#This Row],[Arr/ Dep]]="A",
        IF(
            INDEX(B152:B396,MATCH(Table_2[[#This Row],[A/C]],H152:H396,0))
            - IF(Table_2[[#This Row],[ETA/ETD]]="",Table_2[[#This Row],[STA/STD]],Table_2[[#This Row],[ETA/ETD]]) &lt; 0,
            "ASAP",
            IF(Table_2[[#This Row],[ETA/ETD]]="",
                INDEX(B152:B396,MATCH(Table_2[[#This Row],[A/C]],H152:H396,0))-Table_2[[#This Row],[STA/STD]],
                INDEX(B152:B396,MATCH(Table_2[[#This Row],[A/C]],H152:H396,0))-Table_2[[#This Row],[ETA/ETD]])
        ),
        ""
    ),
"TBC")</f>
        <v>TBC</v>
      </c>
      <c r="N151" s="140" t="str" cm="1">
        <f t="array" ref="N15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1" s="135" t="str">
        <f>Table_2[[#This Row],[A/C]]&amp;Table_2[[#This Row],[Column2]]</f>
        <v>BLEGUO863</v>
      </c>
      <c r="Q15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1" s="166" t="str">
        <f>IFERROR(Table_2[[#This Row],[UTC TIME]]-TIME(1,30,0),"")</f>
        <v/>
      </c>
      <c r="S151" s="167"/>
      <c r="T151" s="186"/>
      <c r="U151" s="200"/>
      <c r="V151" s="200"/>
      <c r="W151" s="201"/>
      <c r="X151" s="201"/>
      <c r="Y151" s="201"/>
    </row>
    <row r="152" spans="1:25" hidden="1">
      <c r="A152" s="140" t="s">
        <v>170</v>
      </c>
      <c r="B152" s="163">
        <v>46067.052083333336</v>
      </c>
      <c r="C152" s="163"/>
      <c r="D152" s="136" t="s">
        <v>259</v>
      </c>
      <c r="E152" s="140" t="s">
        <v>87</v>
      </c>
      <c r="F152" s="280" t="s">
        <v>88</v>
      </c>
      <c r="G152" s="280"/>
      <c r="H152" s="144" t="s">
        <v>168</v>
      </c>
      <c r="I152" s="140" t="s">
        <v>259</v>
      </c>
      <c r="J152" s="140" t="s">
        <v>26</v>
      </c>
      <c r="K152" s="135" t="str">
        <f>LEFT(Table_2[[#This Row],[Flt. ID]],2)&amp;RIGHT(Table_2[[#This Row],[Flt. ID]],3)</f>
        <v>UO245</v>
      </c>
      <c r="L152" s="131" t="str">
        <f>"H"&amp;ROW(Table_2[[#This Row],[A/C]])+1&amp;":H300"</f>
        <v>H153:H300</v>
      </c>
      <c r="M152" s="164">
        <f>IFERROR(
    IF(Table_2[[#This Row],[Arr/ Dep]]="A",
        IF(
            INDEX(B153:B397,MATCH(Table_2[[#This Row],[A/C]],H153:H397,0))
            - IF(Table_2[[#This Row],[ETA/ETD]]="",Table_2[[#This Row],[STA/STD]],Table_2[[#This Row],[ETA/ETD]]) &lt; 0,
            "ASAP",
            IF(Table_2[[#This Row],[ETA/ETD]]="",
                INDEX(B153:B397,MATCH(Table_2[[#This Row],[A/C]],H153:H397,0))-Table_2[[#This Row],[STA/STD]],
                INDEX(B153:B397,MATCH(Table_2[[#This Row],[A/C]],H153:H397,0))-Table_2[[#This Row],[ETA/ETD]])
        ),
        ""
    ),
"TBC")</f>
        <v>6.25E-2</v>
      </c>
      <c r="N152" s="140" t="str" cm="1">
        <f t="array" ref="N15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2" s="135" t="str">
        <f>Table_2[[#This Row],[A/C]]&amp;Table_2[[#This Row],[Column2]]</f>
        <v>BLCMUO245</v>
      </c>
      <c r="Q15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2" s="166" t="str">
        <f>IFERROR(Table_2[[#This Row],[UTC TIME]]-TIME(1,30,0),"")</f>
        <v/>
      </c>
      <c r="S152" s="167"/>
      <c r="T152" s="185"/>
      <c r="U152" s="190"/>
      <c r="V152" s="190"/>
      <c r="W152" s="190"/>
      <c r="X152" s="190"/>
      <c r="Y152" s="190"/>
    </row>
    <row r="153" spans="1:25" hidden="1">
      <c r="A153" s="140" t="s">
        <v>49</v>
      </c>
      <c r="B153" s="163">
        <v>46067.052083333336</v>
      </c>
      <c r="C153" s="163"/>
      <c r="D153" s="136" t="s">
        <v>259</v>
      </c>
      <c r="E153" s="140" t="s">
        <v>50</v>
      </c>
      <c r="F153" s="280" t="s">
        <v>51</v>
      </c>
      <c r="G153" s="280"/>
      <c r="H153" s="144" t="s">
        <v>108</v>
      </c>
      <c r="I153" s="140" t="s">
        <v>259</v>
      </c>
      <c r="J153" s="140" t="s">
        <v>26</v>
      </c>
      <c r="K153" s="135" t="str">
        <f>LEFT(Table_2[[#This Row],[Flt. ID]],2)&amp;RIGHT(Table_2[[#This Row],[Flt. ID]],3)</f>
        <v>UO533</v>
      </c>
      <c r="L153" s="131" t="str">
        <f>"H"&amp;ROW(Table_2[[#This Row],[A/C]])+1&amp;":H300"</f>
        <v>H154:H300</v>
      </c>
      <c r="M153" s="164">
        <f>IFERROR(
    IF(Table_2[[#This Row],[Arr/ Dep]]="A",
        IF(
            INDEX(B154:B398,MATCH(Table_2[[#This Row],[A/C]],H154:H398,0))
            - IF(Table_2[[#This Row],[ETA/ETD]]="",Table_2[[#This Row],[STA/STD]],Table_2[[#This Row],[ETA/ETD]]) &lt; 0,
            "ASAP",
            IF(Table_2[[#This Row],[ETA/ETD]]="",
                INDEX(B154:B398,MATCH(Table_2[[#This Row],[A/C]],H154:H398,0))-Table_2[[#This Row],[STA/STD]],
                INDEX(B154:B398,MATCH(Table_2[[#This Row],[A/C]],H154:H398,0))-Table_2[[#This Row],[ETA/ETD]])
        ),
        ""
    ),
"TBC")</f>
        <v>0.26041666666424135</v>
      </c>
      <c r="N153" s="140" t="str" cm="1">
        <f t="array" ref="N15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10D</v>
      </c>
      <c r="O15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3" s="135" t="str">
        <f>Table_2[[#This Row],[A/C]]&amp;Table_2[[#This Row],[Column2]]</f>
        <v>BKKAUO533</v>
      </c>
      <c r="Q15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3" s="166" t="str">
        <f>IFERROR(Table_2[[#This Row],[UTC TIME]]-TIME(1,30,0),"")</f>
        <v/>
      </c>
      <c r="S153" s="167"/>
      <c r="T153" s="185"/>
      <c r="U153" s="133"/>
      <c r="V153" s="133"/>
      <c r="W153" s="133"/>
      <c r="X153" s="133"/>
      <c r="Y153" s="133"/>
    </row>
    <row r="154" spans="1:25" hidden="1">
      <c r="A154" s="140" t="s">
        <v>53</v>
      </c>
      <c r="B154" s="163">
        <v>46067.059027777781</v>
      </c>
      <c r="C154" s="163"/>
      <c r="D154" s="136" t="s">
        <v>259</v>
      </c>
      <c r="E154" s="140" t="s">
        <v>28</v>
      </c>
      <c r="F154" s="280" t="s">
        <v>29</v>
      </c>
      <c r="G154" s="280"/>
      <c r="H154" s="144" t="s">
        <v>35</v>
      </c>
      <c r="I154" s="140" t="s">
        <v>259</v>
      </c>
      <c r="J154" s="140" t="s">
        <v>26</v>
      </c>
      <c r="K154" s="135" t="str">
        <f>LEFT(Table_2[[#This Row],[Flt. ID]],2)&amp;RIGHT(Table_2[[#This Row],[Flt. ID]],3)</f>
        <v>UO693</v>
      </c>
      <c r="L154" s="131" t="str">
        <f>"H"&amp;ROW(Table_2[[#This Row],[A/C]])+1&amp;":H300"</f>
        <v>H155:H300</v>
      </c>
      <c r="M154" s="164">
        <f>IFERROR(
    IF(Table_2[[#This Row],[Arr/ Dep]]="A",
        IF(
            INDEX(B155:B399,MATCH(Table_2[[#This Row],[A/C]],H155:H399,0))
            - IF(Table_2[[#This Row],[ETA/ETD]]="",Table_2[[#This Row],[STA/STD]],Table_2[[#This Row],[ETA/ETD]]) &lt; 0,
            "ASAP",
            IF(Table_2[[#This Row],[ETA/ETD]]="",
                INDEX(B155:B399,MATCH(Table_2[[#This Row],[A/C]],H155:H399,0))-Table_2[[#This Row],[STA/STD]],
                INDEX(B155:B399,MATCH(Table_2[[#This Row],[A/C]],H155:H399,0))-Table_2[[#This Row],[ETA/ETD]])
        ),
        ""
    ),
"TBC")</f>
        <v>0.26041666666424135</v>
      </c>
      <c r="N154" s="140" t="str" cm="1">
        <f t="array" ref="N15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SCH,72H</v>
      </c>
      <c r="O15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4" s="135" t="str">
        <f>Table_2[[#This Row],[A/C]]&amp;Table_2[[#This Row],[Column2]]</f>
        <v>BKKOUO693</v>
      </c>
      <c r="Q15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4" s="166" t="str">
        <f>IFERROR(Table_2[[#This Row],[UTC TIME]]-TIME(1,30,0),"")</f>
        <v/>
      </c>
      <c r="S154" s="167"/>
      <c r="T154" s="185"/>
      <c r="U154" s="190"/>
      <c r="V154" s="190"/>
      <c r="W154" s="190"/>
      <c r="X154" s="190"/>
      <c r="Y154" s="190"/>
    </row>
    <row r="155" spans="1:25" hidden="1">
      <c r="A155" s="140" t="s">
        <v>55</v>
      </c>
      <c r="B155" s="163">
        <v>46067.072916666664</v>
      </c>
      <c r="C155" s="163"/>
      <c r="D155" s="136" t="s">
        <v>259</v>
      </c>
      <c r="E155" s="140" t="s">
        <v>56</v>
      </c>
      <c r="F155" s="280" t="s">
        <v>57</v>
      </c>
      <c r="G155" s="280"/>
      <c r="H155" s="144" t="s">
        <v>58</v>
      </c>
      <c r="I155" s="140" t="s">
        <v>259</v>
      </c>
      <c r="J155" s="140" t="s">
        <v>26</v>
      </c>
      <c r="K155" s="135" t="str">
        <f>LEFT(Table_2[[#This Row],[Flt. ID]],2)&amp;RIGHT(Table_2[[#This Row],[Flt. ID]],3)</f>
        <v>UO717</v>
      </c>
      <c r="L155" s="131" t="str">
        <f>"H"&amp;ROW(Table_2[[#This Row],[A/C]])+1&amp;":H300"</f>
        <v>H156:H300</v>
      </c>
      <c r="M155" s="164" t="str">
        <f>IFERROR(
    IF(Table_2[[#This Row],[Arr/ Dep]]="A",
        IF(
            INDEX(B156:B400,MATCH(Table_2[[#This Row],[A/C]],H156:H400,0))
            - IF(Table_2[[#This Row],[ETA/ETD]]="",Table_2[[#This Row],[STA/STD]],Table_2[[#This Row],[ETA/ETD]]) &lt; 0,
            "ASAP",
            IF(Table_2[[#This Row],[ETA/ETD]]="",
                INDEX(B156:B400,MATCH(Table_2[[#This Row],[A/C]],H156:H400,0))-Table_2[[#This Row],[STA/STD]],
                INDEX(B156:B400,MATCH(Table_2[[#This Row],[A/C]],H156:H400,0))-Table_2[[#This Row],[ETA/ETD]])
        ),
        ""
    ),
"TBC")</f>
        <v>TBC</v>
      </c>
      <c r="N155" s="140" t="str" cm="1">
        <f t="array" ref="N15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5" s="135" t="str">
        <f>Table_2[[#This Row],[A/C]]&amp;Table_2[[#This Row],[Column2]]</f>
        <v>BHSMUO717</v>
      </c>
      <c r="Q15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5" s="166" t="str">
        <f>IFERROR(Table_2[[#This Row],[UTC TIME]]-TIME(1,30,0),"")</f>
        <v/>
      </c>
      <c r="S155" s="167"/>
      <c r="T155" s="185"/>
      <c r="U155" s="133"/>
      <c r="V155" s="133"/>
      <c r="W155" s="133"/>
      <c r="X155" s="133"/>
      <c r="Y155" s="133"/>
    </row>
    <row r="156" spans="1:25" hidden="1">
      <c r="A156" s="140" t="s">
        <v>59</v>
      </c>
      <c r="B156" s="163">
        <v>46067.083333333336</v>
      </c>
      <c r="C156" s="163"/>
      <c r="D156" s="136" t="s">
        <v>259</v>
      </c>
      <c r="E156" s="140" t="s">
        <v>28</v>
      </c>
      <c r="F156" s="280" t="s">
        <v>29</v>
      </c>
      <c r="G156" s="280"/>
      <c r="H156" s="144" t="s">
        <v>92</v>
      </c>
      <c r="I156" s="140" t="s">
        <v>259</v>
      </c>
      <c r="J156" s="140" t="s">
        <v>42</v>
      </c>
      <c r="K156" s="135" t="str">
        <f>LEFT(Table_2[[#This Row],[Flt. ID]],2)&amp;RIGHT(Table_2[[#This Row],[Flt. ID]],3)</f>
        <v>UO854</v>
      </c>
      <c r="L156" s="131" t="str">
        <f>"H"&amp;ROW(Table_2[[#This Row],[A/C]])+1&amp;":H300"</f>
        <v>H157:H300</v>
      </c>
      <c r="M156" s="164" t="str">
        <f>IFERROR(
    IF(Table_2[[#This Row],[Arr/ Dep]]="A",
        IF(
            INDEX(B157:B401,MATCH(Table_2[[#This Row],[A/C]],H157:H401,0))
            - IF(Table_2[[#This Row],[ETA/ETD]]="",Table_2[[#This Row],[STA/STD]],Table_2[[#This Row],[ETA/ETD]]) &lt; 0,
            "ASAP",
            IF(Table_2[[#This Row],[ETA/ETD]]="",
                INDEX(B157:B401,MATCH(Table_2[[#This Row],[A/C]],H157:H401,0))-Table_2[[#This Row],[STA/STD]],
                INDEX(B157:B401,MATCH(Table_2[[#This Row],[A/C]],H157:H401,0))-Table_2[[#This Row],[ETA/ETD]])
        ),
        ""
    ),
"TBC")</f>
        <v/>
      </c>
      <c r="N156" s="140" t="str" cm="1">
        <f t="array" ref="N15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6" s="135" t="str">
        <f>Table_2[[#This Row],[A/C]]&amp;Table_2[[#This Row],[Column2]]</f>
        <v>BKKNUO854</v>
      </c>
      <c r="Q15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6" s="166" t="str">
        <f>IFERROR(Table_2[[#This Row],[UTC TIME]]-TIME(1,30,0),"")</f>
        <v/>
      </c>
      <c r="S156" s="167"/>
      <c r="T156" s="185"/>
      <c r="U156" s="190"/>
      <c r="V156" s="190"/>
      <c r="W156" s="190"/>
      <c r="X156" s="190"/>
      <c r="Y156" s="190"/>
    </row>
    <row r="157" spans="1:25" hidden="1">
      <c r="A157" s="140" t="s">
        <v>1116</v>
      </c>
      <c r="B157" s="163">
        <v>46067.114583333336</v>
      </c>
      <c r="C157" s="163"/>
      <c r="D157" s="136" t="s">
        <v>259</v>
      </c>
      <c r="E157" s="140" t="s">
        <v>146</v>
      </c>
      <c r="F157" s="280" t="s">
        <v>147</v>
      </c>
      <c r="G157" s="280"/>
      <c r="H157" s="144" t="s">
        <v>168</v>
      </c>
      <c r="I157" s="140" t="s">
        <v>259</v>
      </c>
      <c r="J157" s="140" t="s">
        <v>42</v>
      </c>
      <c r="K157" s="135" t="str">
        <f>LEFT(Table_2[[#This Row],[Flt. ID]],2)&amp;RIGHT(Table_2[[#This Row],[Flt. ID]],3)</f>
        <v>UO604</v>
      </c>
      <c r="L157" s="131" t="str">
        <f>"H"&amp;ROW(Table_2[[#This Row],[A/C]])+1&amp;":H300"</f>
        <v>H158:H300</v>
      </c>
      <c r="M157" s="164" t="str">
        <f>IFERROR(
    IF(Table_2[[#This Row],[Arr/ Dep]]="A",
        IF(
            INDEX(B158:B402,MATCH(Table_2[[#This Row],[A/C]],H158:H402,0))
            - IF(Table_2[[#This Row],[ETA/ETD]]="",Table_2[[#This Row],[STA/STD]],Table_2[[#This Row],[ETA/ETD]]) &lt; 0,
            "ASAP",
            IF(Table_2[[#This Row],[ETA/ETD]]="",
                INDEX(B158:B402,MATCH(Table_2[[#This Row],[A/C]],H158:H402,0))-Table_2[[#This Row],[STA/STD]],
                INDEX(B158:B402,MATCH(Table_2[[#This Row],[A/C]],H158:H402,0))-Table_2[[#This Row],[ETA/ETD]])
        ),
        ""
    ),
"TBC")</f>
        <v/>
      </c>
      <c r="N157" s="140" t="str" cm="1">
        <f t="array" ref="N15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7" s="135" t="str">
        <f>Table_2[[#This Row],[A/C]]&amp;Table_2[[#This Row],[Column2]]</f>
        <v>BLCMUO604</v>
      </c>
      <c r="Q15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7" s="166" t="str">
        <f>IFERROR(Table_2[[#This Row],[UTC TIME]]-TIME(1,30,0),"")</f>
        <v/>
      </c>
      <c r="S157" s="167"/>
      <c r="T157" s="186"/>
      <c r="U157" s="190"/>
      <c r="V157" s="190"/>
      <c r="W157" s="190"/>
      <c r="X157" s="190"/>
      <c r="Y157" s="190"/>
    </row>
    <row r="158" spans="1:25" hidden="1">
      <c r="A158" s="140" t="s">
        <v>62</v>
      </c>
      <c r="B158" s="163">
        <v>46067.114583333336</v>
      </c>
      <c r="C158" s="163"/>
      <c r="D158" s="136" t="s">
        <v>259</v>
      </c>
      <c r="E158" s="140" t="s">
        <v>63</v>
      </c>
      <c r="F158" s="280" t="s">
        <v>64</v>
      </c>
      <c r="G158" s="280"/>
      <c r="H158" s="144" t="s">
        <v>30</v>
      </c>
      <c r="I158" s="140" t="s">
        <v>259</v>
      </c>
      <c r="J158" s="140" t="s">
        <v>42</v>
      </c>
      <c r="K158" s="135" t="str">
        <f>LEFT(Table_2[[#This Row],[Flt. ID]],2)&amp;RIGHT(Table_2[[#This Row],[Flt. ID]],3)</f>
        <v>UO676</v>
      </c>
      <c r="L158" s="131" t="str">
        <f>"H"&amp;ROW(Table_2[[#This Row],[A/C]])+1&amp;":H300"</f>
        <v>H159:H300</v>
      </c>
      <c r="M158" s="164" t="str">
        <f>IFERROR(
    IF(Table_2[[#This Row],[Arr/ Dep]]="A",
        IF(
            INDEX(B159:B403,MATCH(Table_2[[#This Row],[A/C]],H159:H403,0))
            - IF(Table_2[[#This Row],[ETA/ETD]]="",Table_2[[#This Row],[STA/STD]],Table_2[[#This Row],[ETA/ETD]]) &lt; 0,
            "ASAP",
            IF(Table_2[[#This Row],[ETA/ETD]]="",
                INDEX(B159:B403,MATCH(Table_2[[#This Row],[A/C]],H159:H403,0))-Table_2[[#This Row],[STA/STD]],
                INDEX(B159:B403,MATCH(Table_2[[#This Row],[A/C]],H159:H403,0))-Table_2[[#This Row],[ETA/ETD]])
        ),
        ""
    ),
"TBC")</f>
        <v/>
      </c>
      <c r="N158" s="140" t="str" cm="1">
        <f t="array" ref="N15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8" s="135" t="str">
        <f>Table_2[[#This Row],[A/C]]&amp;Table_2[[#This Row],[Column2]]</f>
        <v>BKKJUO676</v>
      </c>
      <c r="Q15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8" s="166" t="str">
        <f>IFERROR(Table_2[[#This Row],[UTC TIME]]-TIME(1,30,0),"")</f>
        <v/>
      </c>
      <c r="S158" s="167"/>
      <c r="T158" s="185"/>
      <c r="U158" s="190"/>
      <c r="V158" s="190"/>
      <c r="W158" s="190"/>
      <c r="X158" s="190"/>
      <c r="Y158" s="190"/>
    </row>
    <row r="159" spans="1:25" hidden="1">
      <c r="A159" s="140" t="s">
        <v>65</v>
      </c>
      <c r="B159" s="163">
        <v>46067.177083333336</v>
      </c>
      <c r="C159" s="163"/>
      <c r="D159" s="136" t="s">
        <v>259</v>
      </c>
      <c r="E159" s="140" t="s">
        <v>66</v>
      </c>
      <c r="F159" s="280" t="s">
        <v>67</v>
      </c>
      <c r="G159" s="280"/>
      <c r="H159" s="144" t="s">
        <v>44</v>
      </c>
      <c r="I159" s="140" t="s">
        <v>259</v>
      </c>
      <c r="J159" s="140" t="s">
        <v>26</v>
      </c>
      <c r="K159" s="135" t="str">
        <f>LEFT(Table_2[[#This Row],[Flt. ID]],2)&amp;RIGHT(Table_2[[#This Row],[Flt. ID]],3)</f>
        <v>UO623</v>
      </c>
      <c r="L159" s="131" t="str">
        <f>"H"&amp;ROW(Table_2[[#This Row],[A/C]])+1&amp;":H300"</f>
        <v>H160:H300</v>
      </c>
      <c r="M159" s="164">
        <f>IFERROR(
    IF(Table_2[[#This Row],[Arr/ Dep]]="A",
        IF(
            INDEX(B160:B404,MATCH(Table_2[[#This Row],[A/C]],H160:H404,0))
            - IF(Table_2[[#This Row],[ETA/ETD]]="",Table_2[[#This Row],[STA/STD]],Table_2[[#This Row],[ETA/ETD]]) &lt; 0,
            "ASAP",
            IF(Table_2[[#This Row],[ETA/ETD]]="",
                INDEX(B160:B404,MATCH(Table_2[[#This Row],[A/C]],H160:H404,0))-Table_2[[#This Row],[STA/STD]],
                INDEX(B160:B404,MATCH(Table_2[[#This Row],[A/C]],H160:H404,0))-Table_2[[#This Row],[ETA/ETD]])
        ),
        ""
    ),
"TBC")</f>
        <v>0.12152777777373558</v>
      </c>
      <c r="N159" s="140" t="str" cm="1">
        <f t="array" ref="N15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5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59" s="135" t="str">
        <f>Table_2[[#This Row],[A/C]]&amp;Table_2[[#This Row],[Column2]]</f>
        <v>BKKPUO623</v>
      </c>
      <c r="Q15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59" s="166" t="str">
        <f>IFERROR(Table_2[[#This Row],[UTC TIME]]-TIME(1,30,0),"")</f>
        <v/>
      </c>
      <c r="S159" s="167"/>
      <c r="T159" s="138"/>
    </row>
    <row r="160" spans="1:25" hidden="1">
      <c r="A160" s="140" t="s">
        <v>70</v>
      </c>
      <c r="B160" s="163">
        <v>46067.180555555555</v>
      </c>
      <c r="C160" s="163"/>
      <c r="D160" s="136" t="s">
        <v>259</v>
      </c>
      <c r="E160" s="140" t="s">
        <v>71</v>
      </c>
      <c r="F160" s="280" t="s">
        <v>72</v>
      </c>
      <c r="G160" s="280"/>
      <c r="H160" s="144" t="s">
        <v>101</v>
      </c>
      <c r="I160" s="140" t="s">
        <v>259</v>
      </c>
      <c r="J160" s="140" t="s">
        <v>26</v>
      </c>
      <c r="K160" s="135" t="str">
        <f>LEFT(Table_2[[#This Row],[Flt. ID]],2)&amp;RIGHT(Table_2[[#This Row],[Flt. ID]],3)</f>
        <v>UO517</v>
      </c>
      <c r="L160" s="131" t="str">
        <f>"H"&amp;ROW(Table_2[[#This Row],[A/C]])+1&amp;":H300"</f>
        <v>H161:H300</v>
      </c>
      <c r="M160" s="164" t="str">
        <f>IFERROR(
    IF(Table_2[[#This Row],[Arr/ Dep]]="A",
        IF(
            INDEX(B161:B405,MATCH(Table_2[[#This Row],[A/C]],H161:H405,0))
            - IF(Table_2[[#This Row],[ETA/ETD]]="",Table_2[[#This Row],[STA/STD]],Table_2[[#This Row],[ETA/ETD]]) &lt; 0,
            "ASAP",
            IF(Table_2[[#This Row],[ETA/ETD]]="",
                INDEX(B161:B405,MATCH(Table_2[[#This Row],[A/C]],H161:H405,0))-Table_2[[#This Row],[STA/STD]],
                INDEX(B161:B405,MATCH(Table_2[[#This Row],[A/C]],H161:H405,0))-Table_2[[#This Row],[ETA/ETD]])
        ),
        ""
    ),
"TBC")</f>
        <v>TBC</v>
      </c>
      <c r="N160" s="140" t="str" cm="1">
        <f t="array" ref="N16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60" s="135" t="str">
        <f>Table_2[[#This Row],[A/C]]&amp;Table_2[[#This Row],[Column2]]</f>
        <v>BLEIUO517</v>
      </c>
      <c r="Q16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0" s="166" t="str">
        <f>IFERROR(Table_2[[#This Row],[UTC TIME]]-TIME(1,30,0),"")</f>
        <v/>
      </c>
      <c r="S160" s="167"/>
      <c r="T160" s="167"/>
      <c r="U160" s="133"/>
      <c r="V160" s="133"/>
      <c r="W160" s="133"/>
      <c r="X160" s="133"/>
      <c r="Y160" s="133"/>
    </row>
    <row r="161" spans="1:25" hidden="1">
      <c r="A161" s="140" t="s">
        <v>74</v>
      </c>
      <c r="B161" s="163">
        <v>46067.190972222219</v>
      </c>
      <c r="C161" s="163"/>
      <c r="D161" s="136" t="s">
        <v>259</v>
      </c>
      <c r="E161" s="140" t="s">
        <v>75</v>
      </c>
      <c r="F161" s="280" t="s">
        <v>76</v>
      </c>
      <c r="G161" s="280"/>
      <c r="H161" s="144" t="s">
        <v>60</v>
      </c>
      <c r="I161" s="140" t="s">
        <v>259</v>
      </c>
      <c r="J161" s="140" t="s">
        <v>26</v>
      </c>
      <c r="K161" s="135" t="str">
        <f>LEFT(Table_2[[#This Row],[Flt. ID]],2)&amp;RIGHT(Table_2[[#This Row],[Flt. ID]],3)</f>
        <v>UO749</v>
      </c>
      <c r="L161" s="131" t="str">
        <f>"H"&amp;ROW(Table_2[[#This Row],[A/C]])+1&amp;":H300"</f>
        <v>H162:H300</v>
      </c>
      <c r="M161" s="164" t="str">
        <f>IFERROR(
    IF(Table_2[[#This Row],[Arr/ Dep]]="A",
        IF(
            INDEX(B162:B406,MATCH(Table_2[[#This Row],[A/C]],H162:H406,0))
            - IF(Table_2[[#This Row],[ETA/ETD]]="",Table_2[[#This Row],[STA/STD]],Table_2[[#This Row],[ETA/ETD]]) &lt; 0,
            "ASAP",
            IF(Table_2[[#This Row],[ETA/ETD]]="",
                INDEX(B162:B406,MATCH(Table_2[[#This Row],[A/C]],H162:H406,0))-Table_2[[#This Row],[STA/STD]],
                INDEX(B162:B406,MATCH(Table_2[[#This Row],[A/C]],H162:H406,0))-Table_2[[#This Row],[ETA/ETD]])
        ),
        ""
    ),
"TBC")</f>
        <v>TBC</v>
      </c>
      <c r="N161" s="140" t="str" cm="1">
        <f t="array" ref="N16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16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61" s="135" t="str">
        <f>Table_2[[#This Row],[A/C]]&amp;Table_2[[#This Row],[Column2]]</f>
        <v>BKKFUO749</v>
      </c>
      <c r="Q16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1" s="166" t="str">
        <f>IFERROR(Table_2[[#This Row],[UTC TIME]]-TIME(1,30,0),"")</f>
        <v/>
      </c>
      <c r="S161" s="167"/>
      <c r="T161" s="185"/>
      <c r="U161" s="190"/>
      <c r="V161" s="190"/>
      <c r="W161" s="190"/>
      <c r="X161" s="190"/>
      <c r="Y161" s="190"/>
    </row>
    <row r="162" spans="1:25" hidden="1">
      <c r="A162" s="140" t="s">
        <v>79</v>
      </c>
      <c r="B162" s="163">
        <v>46067.197916666664</v>
      </c>
      <c r="C162" s="163"/>
      <c r="D162" s="136" t="s">
        <v>259</v>
      </c>
      <c r="E162" s="140" t="s">
        <v>80</v>
      </c>
      <c r="F162" s="280" t="s">
        <v>81</v>
      </c>
      <c r="G162" s="280"/>
      <c r="H162" s="144" t="s">
        <v>52</v>
      </c>
      <c r="I162" s="140" t="s">
        <v>259</v>
      </c>
      <c r="J162" s="140" t="s">
        <v>26</v>
      </c>
      <c r="K162" s="135" t="str">
        <f>LEFT(Table_2[[#This Row],[Flt. ID]],2)&amp;RIGHT(Table_2[[#This Row],[Flt. ID]],3)</f>
        <v>UO791</v>
      </c>
      <c r="L162" s="131" t="str">
        <f>"H"&amp;ROW(Table_2[[#This Row],[A/C]])+1&amp;":H300"</f>
        <v>H163:H300</v>
      </c>
      <c r="M162" s="164" t="str">
        <f>IFERROR(
    IF(Table_2[[#This Row],[Arr/ Dep]]="A",
        IF(
            INDEX(B163:B407,MATCH(Table_2[[#This Row],[A/C]],H163:H407,0))
            - IF(Table_2[[#This Row],[ETA/ETD]]="",Table_2[[#This Row],[STA/STD]],Table_2[[#This Row],[ETA/ETD]]) &lt; 0,
            "ASAP",
            IF(Table_2[[#This Row],[ETA/ETD]]="",
                INDEX(B163:B407,MATCH(Table_2[[#This Row],[A/C]],H163:H407,0))-Table_2[[#This Row],[STA/STD]],
                INDEX(B163:B407,MATCH(Table_2[[#This Row],[A/C]],H163:H407,0))-Table_2[[#This Row],[ETA/ETD]])
        ),
        ""
    ),
"TBC")</f>
        <v>TBC</v>
      </c>
      <c r="N162" s="140" t="str" cm="1">
        <f t="array" ref="N16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62" s="135" t="str">
        <f>Table_2[[#This Row],[A/C]]&amp;Table_2[[#This Row],[Column2]]</f>
        <v>BLEFUO791</v>
      </c>
      <c r="Q16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2" s="166" t="str">
        <f>IFERROR(Table_2[[#This Row],[UTC TIME]]-TIME(1,30,0),"")</f>
        <v/>
      </c>
      <c r="S162" s="167"/>
      <c r="T162" s="185"/>
      <c r="U162" s="190"/>
      <c r="V162" s="190"/>
      <c r="W162" s="114"/>
      <c r="X162" s="114"/>
      <c r="Y162" s="114"/>
    </row>
    <row r="163" spans="1:25" hidden="1">
      <c r="A163" s="140" t="s">
        <v>83</v>
      </c>
      <c r="B163" s="163">
        <v>46067.229166666664</v>
      </c>
      <c r="C163" s="163"/>
      <c r="D163" s="136" t="s">
        <v>259</v>
      </c>
      <c r="E163" s="140" t="s">
        <v>38</v>
      </c>
      <c r="F163" s="280" t="s">
        <v>39</v>
      </c>
      <c r="G163" s="280"/>
      <c r="H163" s="144" t="s">
        <v>68</v>
      </c>
      <c r="I163" s="140" t="s">
        <v>259</v>
      </c>
      <c r="J163" s="140" t="s">
        <v>26</v>
      </c>
      <c r="K163" s="135" t="str">
        <f>LEFT(Table_2[[#This Row],[Flt. ID]],2)&amp;RIGHT(Table_2[[#This Row],[Flt. ID]],3)</f>
        <v>UO615</v>
      </c>
      <c r="L163" s="131" t="str">
        <f>"H"&amp;ROW(Table_2[[#This Row],[A/C]])+1&amp;":H300"</f>
        <v>H164:H300</v>
      </c>
      <c r="M163" s="164">
        <f>IFERROR(
    IF(Table_2[[#This Row],[Arr/ Dep]]="A",
        IF(
            INDEX(B164:B408,MATCH(Table_2[[#This Row],[A/C]],H164:H408,0))
            - IF(Table_2[[#This Row],[ETA/ETD]]="",Table_2[[#This Row],[STA/STD]],Table_2[[#This Row],[ETA/ETD]]) &lt; 0,
            "ASAP",
            IF(Table_2[[#This Row],[ETA/ETD]]="",
                INDEX(B164:B408,MATCH(Table_2[[#This Row],[A/C]],H164:H408,0))-Table_2[[#This Row],[STA/STD]],
                INDEX(B164:B408,MATCH(Table_2[[#This Row],[A/C]],H164:H408,0))-Table_2[[#This Row],[ETA/ETD]])
        ),
        ""
    ),
"TBC")</f>
        <v>9.7222222226264421E-2</v>
      </c>
      <c r="N163" s="140" t="str" cm="1">
        <f t="array" ref="N16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63" s="135" t="str">
        <f>Table_2[[#This Row],[A/C]]&amp;Table_2[[#This Row],[Column2]]</f>
        <v>BKKDUO615</v>
      </c>
      <c r="Q16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3" s="166" t="str">
        <f>IFERROR(Table_2[[#This Row],[UTC TIME]]-TIME(1,30,0),"")</f>
        <v/>
      </c>
      <c r="S163" s="167"/>
      <c r="T163" s="185"/>
      <c r="U163" s="179"/>
      <c r="V163" s="179"/>
    </row>
    <row r="164" spans="1:25" hidden="1">
      <c r="A164" s="140" t="s">
        <v>91</v>
      </c>
      <c r="B164" s="163">
        <v>46067.260416666664</v>
      </c>
      <c r="C164" s="163"/>
      <c r="D164" s="136" t="s">
        <v>259</v>
      </c>
      <c r="E164" s="140" t="s">
        <v>66</v>
      </c>
      <c r="F164" s="280" t="s">
        <v>67</v>
      </c>
      <c r="G164" s="280"/>
      <c r="H164" s="144" t="s">
        <v>77</v>
      </c>
      <c r="I164" s="140" t="s">
        <v>259</v>
      </c>
      <c r="J164" s="140" t="s">
        <v>26</v>
      </c>
      <c r="K164" s="135" t="str">
        <f>LEFT(Table_2[[#This Row],[Flt. ID]],2)&amp;RIGHT(Table_2[[#This Row],[Flt. ID]],3)</f>
        <v>UO629</v>
      </c>
      <c r="L164" s="131" t="str">
        <f>"H"&amp;ROW(Table_2[[#This Row],[A/C]])+1&amp;":H300"</f>
        <v>H165:H300</v>
      </c>
      <c r="M164" s="164">
        <f>IFERROR(
    IF(Table_2[[#This Row],[Arr/ Dep]]="A",
        IF(
            INDEX(B165:B409,MATCH(Table_2[[#This Row],[A/C]],H165:H409,0))
            - IF(Table_2[[#This Row],[ETA/ETD]]="",Table_2[[#This Row],[STA/STD]],Table_2[[#This Row],[ETA/ETD]]) &lt; 0,
            "ASAP",
            IF(Table_2[[#This Row],[ETA/ETD]]="",
                INDEX(B165:B409,MATCH(Table_2[[#This Row],[A/C]],H165:H409,0))-Table_2[[#This Row],[STA/STD]],
                INDEX(B165:B409,MATCH(Table_2[[#This Row],[A/C]],H165:H409,0))-Table_2[[#This Row],[ETA/ETD]])
        ),
        ""
    ),
"TBC")</f>
        <v>6.25E-2</v>
      </c>
      <c r="N164" s="140" t="str" cm="1">
        <f t="array" ref="N16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64" s="135" t="str">
        <f>Table_2[[#This Row],[A/C]]&amp;Table_2[[#This Row],[Column2]]</f>
        <v>BKKHUO629</v>
      </c>
      <c r="Q16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4" s="166" t="str">
        <f>IFERROR(Table_2[[#This Row],[UTC TIME]]-TIME(1,30,0),"")</f>
        <v/>
      </c>
      <c r="S164" s="167"/>
      <c r="T164" s="185"/>
      <c r="U164" s="133"/>
      <c r="V164" s="133"/>
      <c r="W164" s="133"/>
      <c r="X164" s="133"/>
      <c r="Y164" s="133"/>
    </row>
    <row r="165" spans="1:25" hidden="1">
      <c r="A165" s="140" t="s">
        <v>94</v>
      </c>
      <c r="B165" s="163">
        <v>46067.274305555555</v>
      </c>
      <c r="C165" s="163"/>
      <c r="D165" s="136" t="s">
        <v>259</v>
      </c>
      <c r="E165" s="140" t="s">
        <v>95</v>
      </c>
      <c r="F165" s="280" t="s">
        <v>96</v>
      </c>
      <c r="G165" s="280"/>
      <c r="H165" s="144" t="s">
        <v>156</v>
      </c>
      <c r="I165" s="140" t="s">
        <v>259</v>
      </c>
      <c r="J165" s="140" t="s">
        <v>26</v>
      </c>
      <c r="K165" s="135" t="str">
        <f>LEFT(Table_2[[#This Row],[Flt. ID]],2)&amp;RIGHT(Table_2[[#This Row],[Flt. ID]],3)</f>
        <v>UO261</v>
      </c>
      <c r="L165" s="131" t="str">
        <f>"H"&amp;ROW(Table_2[[#This Row],[A/C]])+1&amp;":H300"</f>
        <v>H166:H300</v>
      </c>
      <c r="M165" s="164">
        <f>IFERROR(
    IF(Table_2[[#This Row],[Arr/ Dep]]="A",
        IF(
            INDEX(B166:B410,MATCH(Table_2[[#This Row],[A/C]],H166:H410,0))
            - IF(Table_2[[#This Row],[ETA/ETD]]="",Table_2[[#This Row],[STA/STD]],Table_2[[#This Row],[ETA/ETD]]) &lt; 0,
            "ASAP",
            IF(Table_2[[#This Row],[ETA/ETD]]="",
                INDEX(B166:B410,MATCH(Table_2[[#This Row],[A/C]],H166:H410,0))-Table_2[[#This Row],[STA/STD]],
                INDEX(B166:B410,MATCH(Table_2[[#This Row],[A/C]],H166:H410,0))-Table_2[[#This Row],[ETA/ETD]])
        ),
        ""
    ),
"TBC")</f>
        <v>4.5138888890505768E-2</v>
      </c>
      <c r="N165" s="140" t="str" cm="1">
        <f t="array" ref="N16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46066</v>
      </c>
      <c r="P165" s="152" t="str">
        <f>Table_2[[#This Row],[A/C]]&amp;Table_2[[#This Row],[Column2]]</f>
        <v>BLEDUO261</v>
      </c>
      <c r="Q16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5" s="166" t="str">
        <f>IFERROR(Table_2[[#This Row],[UTC TIME]]-TIME(1,30,0),"")</f>
        <v/>
      </c>
      <c r="S165" s="161"/>
      <c r="T165" s="185"/>
      <c r="U165" s="179"/>
      <c r="V165" s="179"/>
      <c r="W165" s="179"/>
      <c r="X165" s="179"/>
      <c r="Y165" s="179"/>
    </row>
    <row r="166" spans="1:25" hidden="1">
      <c r="A166" s="140" t="s">
        <v>99</v>
      </c>
      <c r="B166" s="163">
        <v>46067.298611111109</v>
      </c>
      <c r="C166" s="163"/>
      <c r="D166" s="136" t="s">
        <v>259</v>
      </c>
      <c r="E166" s="140" t="s">
        <v>38</v>
      </c>
      <c r="F166" s="280" t="s">
        <v>39</v>
      </c>
      <c r="G166" s="280"/>
      <c r="H166" s="144" t="s">
        <v>44</v>
      </c>
      <c r="I166" s="140" t="s">
        <v>259</v>
      </c>
      <c r="J166" s="140" t="s">
        <v>42</v>
      </c>
      <c r="K166" s="135" t="str">
        <f>LEFT(Table_2[[#This Row],[Flt. ID]],2)&amp;RIGHT(Table_2[[#This Row],[Flt. ID]],3)</f>
        <v>UO618</v>
      </c>
      <c r="L166" s="131" t="str">
        <f>"H"&amp;ROW(Table_2[[#This Row],[A/C]])+1&amp;":H300"</f>
        <v>H167:H300</v>
      </c>
      <c r="M166" s="164" t="str">
        <f>IFERROR(
    IF(Table_2[[#This Row],[Arr/ Dep]]="A",
        IF(
            INDEX(B167:B411,MATCH(Table_2[[#This Row],[A/C]],H167:H411,0))
            - IF(Table_2[[#This Row],[ETA/ETD]]="",Table_2[[#This Row],[STA/STD]],Table_2[[#This Row],[ETA/ETD]]) &lt; 0,
            "ASAP",
            IF(Table_2[[#This Row],[ETA/ETD]]="",
                INDEX(B167:B411,MATCH(Table_2[[#This Row],[A/C]],H167:H411,0))-Table_2[[#This Row],[STA/STD]],
                INDEX(B167:B411,MATCH(Table_2[[#This Row],[A/C]],H167:H411,0))-Table_2[[#This Row],[ETA/ETD]])
        ),
        ""
    ),
"TBC")</f>
        <v/>
      </c>
      <c r="N166" s="140" t="str" cm="1">
        <f t="array" ref="N16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66" s="135" t="str">
        <f>Table_2[[#This Row],[A/C]]&amp;Table_2[[#This Row],[Column2]]</f>
        <v>BKKPUO618</v>
      </c>
      <c r="Q16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6" s="166" t="str">
        <f>IFERROR(Table_2[[#This Row],[UTC TIME]]-TIME(1,30,0),"")</f>
        <v/>
      </c>
      <c r="S166" s="167"/>
      <c r="T166" s="185"/>
      <c r="U166" s="133"/>
      <c r="V166" s="133"/>
      <c r="W166" s="133"/>
      <c r="X166" s="133"/>
      <c r="Y166" s="133"/>
    </row>
    <row r="167" spans="1:25" hidden="1">
      <c r="A167" s="140" t="s">
        <v>100</v>
      </c>
      <c r="B167" s="163">
        <v>46067.309027777781</v>
      </c>
      <c r="C167" s="163"/>
      <c r="D167" s="136" t="s">
        <v>259</v>
      </c>
      <c r="E167" s="140" t="s">
        <v>50</v>
      </c>
      <c r="F167" s="280" t="s">
        <v>51</v>
      </c>
      <c r="G167" s="280"/>
      <c r="H167" s="144" t="s">
        <v>218</v>
      </c>
      <c r="I167" s="140" t="s">
        <v>259</v>
      </c>
      <c r="J167" s="140" t="s">
        <v>42</v>
      </c>
      <c r="K167" s="135" t="str">
        <f>LEFT(Table_2[[#This Row],[Flt. ID]],2)&amp;RIGHT(Table_2[[#This Row],[Flt. ID]],3)</f>
        <v>UO522</v>
      </c>
      <c r="L167" s="131" t="str">
        <f>"H"&amp;ROW(Table_2[[#This Row],[A/C]])+1&amp;":H300"</f>
        <v>H168:H300</v>
      </c>
      <c r="M167" s="164" t="str">
        <f>IFERROR(
    IF(Table_2[[#This Row],[Arr/ Dep]]="A",
        IF(
            INDEX(B168:B412,MATCH(Table_2[[#This Row],[A/C]],H168:H412,0))
            - IF(Table_2[[#This Row],[ETA/ETD]]="",Table_2[[#This Row],[STA/STD]],Table_2[[#This Row],[ETA/ETD]]) &lt; 0,
            "ASAP",
            IF(Table_2[[#This Row],[ETA/ETD]]="",
                INDEX(B168:B412,MATCH(Table_2[[#This Row],[A/C]],H168:H412,0))-Table_2[[#This Row],[STA/STD]],
                INDEX(B168:B412,MATCH(Table_2[[#This Row],[A/C]],H168:H412,0))-Table_2[[#This Row],[ETA/ETD]])
        ),
        ""
    ),
"TBC")</f>
        <v/>
      </c>
      <c r="N167" s="140" t="str" cm="1">
        <f t="array" ref="N16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16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67" s="135" t="str">
        <f>Table_2[[#This Row],[A/C]]&amp;Table_2[[#This Row],[Column2]]</f>
        <v>BHSLUO522</v>
      </c>
      <c r="Q167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46066.975694444445</v>
      </c>
      <c r="R167" s="166">
        <f>IFERROR(Table_2[[#This Row],[UTC TIME]]-TIME(1,30,0),"")</f>
        <v>46066.913194444445</v>
      </c>
      <c r="S167" s="167"/>
      <c r="T167" s="167"/>
      <c r="U167" s="133"/>
      <c r="V167" s="133"/>
      <c r="W167" s="133"/>
      <c r="X167" s="133"/>
      <c r="Y167" s="133"/>
    </row>
    <row r="168" spans="1:25" hidden="1">
      <c r="A168" s="140" t="s">
        <v>102</v>
      </c>
      <c r="B168" s="163">
        <v>46067.309027777781</v>
      </c>
      <c r="C168" s="163"/>
      <c r="D168" s="136" t="s">
        <v>259</v>
      </c>
      <c r="E168" s="140" t="s">
        <v>103</v>
      </c>
      <c r="F168" s="280" t="s">
        <v>104</v>
      </c>
      <c r="G168" s="280"/>
      <c r="H168" s="144" t="s">
        <v>97</v>
      </c>
      <c r="I168" s="140" t="s">
        <v>259</v>
      </c>
      <c r="J168" s="140" t="s">
        <v>42</v>
      </c>
      <c r="K168" s="135" t="str">
        <f>LEFT(Table_2[[#This Row],[Flt. ID]],2)&amp;RIGHT(Table_2[[#This Row],[Flt. ID]],3)</f>
        <v>UO724</v>
      </c>
      <c r="L168" s="131" t="str">
        <f>"H"&amp;ROW(Table_2[[#This Row],[A/C]])+1&amp;":H300"</f>
        <v>H169:H300</v>
      </c>
      <c r="M168" s="164" t="str">
        <f>IFERROR(
    IF(Table_2[[#This Row],[Arr/ Dep]]="A",
        IF(
            INDEX(B169:B413,MATCH(Table_2[[#This Row],[A/C]],H169:H413,0))
            - IF(Table_2[[#This Row],[ETA/ETD]]="",Table_2[[#This Row],[STA/STD]],Table_2[[#This Row],[ETA/ETD]]) &lt; 0,
            "ASAP",
            IF(Table_2[[#This Row],[ETA/ETD]]="",
                INDEX(B169:B413,MATCH(Table_2[[#This Row],[A/C]],H169:H413,0))-Table_2[[#This Row],[STA/STD]],
                INDEX(B169:B413,MATCH(Table_2[[#This Row],[A/C]],H169:H413,0))-Table_2[[#This Row],[ETA/ETD]])
        ),
        ""
    ),
"TBC")</f>
        <v/>
      </c>
      <c r="N168" s="140" t="str" cm="1">
        <f t="array" ref="N16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6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68" s="135" t="str">
        <f>Table_2[[#This Row],[A/C]]&amp;Table_2[[#This Row],[Column2]]</f>
        <v>BLEEUO724</v>
      </c>
      <c r="Q16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68" s="166" t="str">
        <f>IFERROR(Table_2[[#This Row],[UTC TIME]]-TIME(1,30,0),"")</f>
        <v/>
      </c>
      <c r="S168" s="167"/>
      <c r="T168" s="185"/>
      <c r="U168" s="133"/>
      <c r="V168" s="133"/>
      <c r="W168" s="133"/>
      <c r="X168" s="133"/>
      <c r="Y168" s="133"/>
    </row>
    <row r="169" spans="1:25" hidden="1">
      <c r="A169" s="140" t="s">
        <v>105</v>
      </c>
      <c r="B169" s="163">
        <v>46067.3125</v>
      </c>
      <c r="C169" s="163"/>
      <c r="D169" s="136" t="s">
        <v>259</v>
      </c>
      <c r="E169" s="140" t="s">
        <v>106</v>
      </c>
      <c r="F169" s="280" t="s">
        <v>107</v>
      </c>
      <c r="G169" s="280"/>
      <c r="H169" s="144" t="s">
        <v>108</v>
      </c>
      <c r="I169" s="140" t="s">
        <v>259</v>
      </c>
      <c r="J169" s="140" t="s">
        <v>42</v>
      </c>
      <c r="K169" s="135" t="str">
        <f>LEFT(Table_2[[#This Row],[Flt. ID]],2)&amp;RIGHT(Table_2[[#This Row],[Flt. ID]],3)</f>
        <v>UO820</v>
      </c>
      <c r="L169" s="131" t="str">
        <f>"H"&amp;ROW(Table_2[[#This Row],[A/C]])+1&amp;":H300"</f>
        <v>H170:H300</v>
      </c>
      <c r="M169" s="164" t="str">
        <f>IFERROR(
    IF(Table_2[[#This Row],[Arr/ Dep]]="A",
        IF(
            INDEX(B170:B414,MATCH(Table_2[[#This Row],[A/C]],H170:H414,0))
            - IF(Table_2[[#This Row],[ETA/ETD]]="",Table_2[[#This Row],[STA/STD]],Table_2[[#This Row],[ETA/ETD]]) &lt; 0,
            "ASAP",
            IF(Table_2[[#This Row],[ETA/ETD]]="",
                INDEX(B170:B414,MATCH(Table_2[[#This Row],[A/C]],H170:H414,0))-Table_2[[#This Row],[STA/STD]],
                INDEX(B170:B414,MATCH(Table_2[[#This Row],[A/C]],H170:H414,0))-Table_2[[#This Row],[ETA/ETD]])
        ),
        ""
    ),
"TBC")</f>
        <v/>
      </c>
      <c r="N169" s="140" t="str" cm="1">
        <f t="array" ref="N16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10D</v>
      </c>
      <c r="O16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69" s="135" t="str">
        <f>Table_2[[#This Row],[A/C]]&amp;Table_2[[#This Row],[Column2]]</f>
        <v>BKKAUO820</v>
      </c>
      <c r="Q169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46066.979166666664</v>
      </c>
      <c r="R169" s="166">
        <f>IFERROR(Table_2[[#This Row],[UTC TIME]]-TIME(1,30,0),"")</f>
        <v>46066.916666666664</v>
      </c>
      <c r="S169" s="167"/>
      <c r="T169" s="167"/>
      <c r="U169" s="133"/>
      <c r="V169" s="133"/>
      <c r="W169" s="133"/>
      <c r="X169" s="133"/>
      <c r="Y169" s="133"/>
    </row>
    <row r="170" spans="1:25" hidden="1">
      <c r="A170" s="140" t="s">
        <v>110</v>
      </c>
      <c r="B170" s="163">
        <v>46067.319444444445</v>
      </c>
      <c r="C170" s="163"/>
      <c r="D170" s="136" t="s">
        <v>259</v>
      </c>
      <c r="E170" s="140" t="s">
        <v>111</v>
      </c>
      <c r="F170" s="280" t="s">
        <v>112</v>
      </c>
      <c r="G170" s="280"/>
      <c r="H170" s="144" t="s">
        <v>35</v>
      </c>
      <c r="I170" s="140" t="s">
        <v>259</v>
      </c>
      <c r="J170" s="140" t="s">
        <v>42</v>
      </c>
      <c r="K170" s="135" t="str">
        <f>LEFT(Table_2[[#This Row],[Flt. ID]],2)&amp;RIGHT(Table_2[[#This Row],[Flt. ID]],3)</f>
        <v>UO192</v>
      </c>
      <c r="L170" s="131" t="str">
        <f>"H"&amp;ROW(Table_2[[#This Row],[A/C]])+1&amp;":H300"</f>
        <v>H171:H300</v>
      </c>
      <c r="M170" s="164" t="str">
        <f>IFERROR(
    IF(Table_2[[#This Row],[Arr/ Dep]]="A",
        IF(
            INDEX(B171:B415,MATCH(Table_2[[#This Row],[A/C]],H171:H415,0))
            - IF(Table_2[[#This Row],[ETA/ETD]]="",Table_2[[#This Row],[STA/STD]],Table_2[[#This Row],[ETA/ETD]]) &lt; 0,
            "ASAP",
            IF(Table_2[[#This Row],[ETA/ETD]]="",
                INDEX(B171:B415,MATCH(Table_2[[#This Row],[A/C]],H171:H415,0))-Table_2[[#This Row],[STA/STD]],
                INDEX(B171:B415,MATCH(Table_2[[#This Row],[A/C]],H171:H415,0))-Table_2[[#This Row],[ETA/ETD]])
        ),
        ""
    ),
"TBC")</f>
        <v/>
      </c>
      <c r="N170" s="140" t="str" cm="1">
        <f t="array" ref="N17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>72H</v>
      </c>
      <c r="O17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0" s="152" t="str">
        <f>Table_2[[#This Row],[A/C]]&amp;Table_2[[#This Row],[Column2]]</f>
        <v>BKKOUO192</v>
      </c>
      <c r="Q170" s="166">
        <f>IF(Table_2[[#This Row],[Arr/ Dep]]="D",IF(OR(Table_2[[#This Row],[Work]]="72H",Table_2[[#This Row],[Work]]="10D",Table_2[[#This Row],[Work]]="72H,10D",Table_2[[#This Row],[Work]]="10D,72H"),Table_2[[#This Row],[STA/STD]]-TIME(8,0,0),""),"")</f>
        <v>46066.986111111109</v>
      </c>
      <c r="R170" s="166">
        <f>IFERROR(Table_2[[#This Row],[UTC TIME]]-TIME(1,30,0),"")</f>
        <v>46066.923611111109</v>
      </c>
      <c r="S170" s="161"/>
      <c r="T170" s="161"/>
      <c r="U170" s="173"/>
      <c r="V170" s="173"/>
      <c r="W170" s="173"/>
      <c r="X170" s="173"/>
      <c r="Y170" s="173"/>
    </row>
    <row r="171" spans="1:25" s="133" customFormat="1" hidden="1">
      <c r="A171" s="140" t="s">
        <v>115</v>
      </c>
      <c r="B171" s="163">
        <v>46067.319444444445</v>
      </c>
      <c r="C171" s="163"/>
      <c r="D171" s="136" t="s">
        <v>259</v>
      </c>
      <c r="E171" s="140" t="s">
        <v>116</v>
      </c>
      <c r="F171" s="280" t="s">
        <v>117</v>
      </c>
      <c r="G171" s="280"/>
      <c r="H171" s="144" t="s">
        <v>54</v>
      </c>
      <c r="I171" s="140" t="s">
        <v>259</v>
      </c>
      <c r="J171" s="140" t="s">
        <v>42</v>
      </c>
      <c r="K171" s="135" t="str">
        <f>LEFT(Table_2[[#This Row],[Flt. ID]],2)&amp;RIGHT(Table_2[[#This Row],[Flt. ID]],3)</f>
        <v>UO540</v>
      </c>
      <c r="L171" s="131" t="str">
        <f>"H"&amp;ROW(Table_2[[#This Row],[A/C]])+1&amp;":H300"</f>
        <v>H172:H300</v>
      </c>
      <c r="M171" s="164" t="str">
        <f>IFERROR(
    IF(Table_2[[#This Row],[Arr/ Dep]]="A",
        IF(
            INDEX(B172:B416,MATCH(Table_2[[#This Row],[A/C]],H172:H416,0))
            - IF(Table_2[[#This Row],[ETA/ETD]]="",Table_2[[#This Row],[STA/STD]],Table_2[[#This Row],[ETA/ETD]]) &lt; 0,
            "ASAP",
            IF(Table_2[[#This Row],[ETA/ETD]]="",
                INDEX(B172:B416,MATCH(Table_2[[#This Row],[A/C]],H172:H416,0))-Table_2[[#This Row],[STA/STD]],
                INDEX(B172:B416,MATCH(Table_2[[#This Row],[A/C]],H172:H416,0))-Table_2[[#This Row],[ETA/ETD]])
        ),
        ""
    ),
"TBC")</f>
        <v/>
      </c>
      <c r="N171" s="140" t="str" cm="1">
        <f t="array" ref="N17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1" s="135" t="str">
        <f>Table_2[[#This Row],[A/C]]&amp;Table_2[[#This Row],[Column2]]</f>
        <v>BKKEUO540</v>
      </c>
      <c r="Q17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1" s="166" t="str">
        <f>IFERROR(Table_2[[#This Row],[UTC TIME]]-TIME(1,30,0),"")</f>
        <v/>
      </c>
      <c r="S171" s="167"/>
      <c r="T171" s="167"/>
    </row>
    <row r="172" spans="1:25" s="133" customFormat="1" hidden="1">
      <c r="A172" s="140" t="s">
        <v>118</v>
      </c>
      <c r="B172" s="163">
        <v>46067.319444444445</v>
      </c>
      <c r="C172" s="163"/>
      <c r="D172" s="136" t="s">
        <v>259</v>
      </c>
      <c r="E172" s="140" t="s">
        <v>119</v>
      </c>
      <c r="F172" s="280" t="s">
        <v>120</v>
      </c>
      <c r="G172" s="280"/>
      <c r="H172" s="144" t="s">
        <v>156</v>
      </c>
      <c r="I172" s="140" t="s">
        <v>259</v>
      </c>
      <c r="J172" s="140" t="s">
        <v>42</v>
      </c>
      <c r="K172" s="135" t="str">
        <f>LEFT(Table_2[[#This Row],[Flt. ID]],2)&amp;RIGHT(Table_2[[#This Row],[Flt. ID]],3)</f>
        <v>UO756</v>
      </c>
      <c r="L172" s="131" t="str">
        <f>"H"&amp;ROW(Table_2[[#This Row],[A/C]])+1&amp;":H300"</f>
        <v>H173:H300</v>
      </c>
      <c r="M172" s="164" t="str">
        <f>IFERROR(
    IF(Table_2[[#This Row],[Arr/ Dep]]="A",
        IF(
            INDEX(B173:B417,MATCH(Table_2[[#This Row],[A/C]],H173:H417,0))
            - IF(Table_2[[#This Row],[ETA/ETD]]="",Table_2[[#This Row],[STA/STD]],Table_2[[#This Row],[ETA/ETD]]) &lt; 0,
            "ASAP",
            IF(Table_2[[#This Row],[ETA/ETD]]="",
                INDEX(B173:B417,MATCH(Table_2[[#This Row],[A/C]],H173:H417,0))-Table_2[[#This Row],[STA/STD]],
                INDEX(B173:B417,MATCH(Table_2[[#This Row],[A/C]],H173:H417,0))-Table_2[[#This Row],[ETA/ETD]])
        ),
        ""
    ),
"TBC")</f>
        <v/>
      </c>
      <c r="N172" s="140" t="str" cm="1">
        <f t="array" ref="N17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2" s="135" t="str">
        <f>Table_2[[#This Row],[A/C]]&amp;Table_2[[#This Row],[Column2]]</f>
        <v>BLEDUO756</v>
      </c>
      <c r="Q17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2" s="166" t="str">
        <f>IFERROR(Table_2[[#This Row],[UTC TIME]]-TIME(1,30,0),"")</f>
        <v/>
      </c>
      <c r="S172" s="138"/>
      <c r="T172" s="180"/>
      <c r="U172"/>
      <c r="V172"/>
      <c r="W172"/>
      <c r="X172"/>
      <c r="Y172"/>
    </row>
    <row r="173" spans="1:25" s="133" customFormat="1" hidden="1">
      <c r="A173" s="140" t="s">
        <v>121</v>
      </c>
      <c r="B173" s="163">
        <v>46067.322916666664</v>
      </c>
      <c r="C173" s="163"/>
      <c r="D173" s="136" t="s">
        <v>259</v>
      </c>
      <c r="E173" s="140" t="s">
        <v>122</v>
      </c>
      <c r="F173" s="280" t="s">
        <v>123</v>
      </c>
      <c r="G173" s="280"/>
      <c r="H173" s="144" t="s">
        <v>77</v>
      </c>
      <c r="I173" s="140" t="s">
        <v>259</v>
      </c>
      <c r="J173" s="140" t="s">
        <v>42</v>
      </c>
      <c r="K173" s="135" t="str">
        <f>LEFT(Table_2[[#This Row],[Flt. ID]],2)&amp;RIGHT(Table_2[[#This Row],[Flt. ID]],3)</f>
        <v>UO600</v>
      </c>
      <c r="L173" s="131" t="str">
        <f>"H"&amp;ROW(Table_2[[#This Row],[A/C]])+1&amp;":H300"</f>
        <v>H174:H300</v>
      </c>
      <c r="M173" s="164" t="str">
        <f>IFERROR(
    IF(Table_2[[#This Row],[Arr/ Dep]]="A",
        IF(
            INDEX(B174:B418,MATCH(Table_2[[#This Row],[A/C]],H174:H418,0))
            - IF(Table_2[[#This Row],[ETA/ETD]]="",Table_2[[#This Row],[STA/STD]],Table_2[[#This Row],[ETA/ETD]]) &lt; 0,
            "ASAP",
            IF(Table_2[[#This Row],[ETA/ETD]]="",
                INDEX(B174:B418,MATCH(Table_2[[#This Row],[A/C]],H174:H418,0))-Table_2[[#This Row],[STA/STD]],
                INDEX(B174:B418,MATCH(Table_2[[#This Row],[A/C]],H174:H418,0))-Table_2[[#This Row],[ETA/ETD]])
        ),
        ""
    ),
"TBC")</f>
        <v/>
      </c>
      <c r="N173" s="140" t="str" cm="1">
        <f t="array" ref="N17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3" s="135" t="str">
        <f>Table_2[[#This Row],[A/C]]&amp;Table_2[[#This Row],[Column2]]</f>
        <v>BKKHUO600</v>
      </c>
      <c r="Q17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3" s="166" t="str">
        <f>IFERROR(Table_2[[#This Row],[UTC TIME]]-TIME(1,30,0),"")</f>
        <v/>
      </c>
      <c r="S173" s="167"/>
      <c r="T173" s="167"/>
    </row>
    <row r="174" spans="1:25" hidden="1">
      <c r="A174" s="140" t="s">
        <v>124</v>
      </c>
      <c r="B174" s="163">
        <v>46067.326388888891</v>
      </c>
      <c r="C174" s="163"/>
      <c r="D174" s="136" t="s">
        <v>259</v>
      </c>
      <c r="E174" s="140" t="s">
        <v>125</v>
      </c>
      <c r="F174" s="280" t="s">
        <v>126</v>
      </c>
      <c r="G174" s="280"/>
      <c r="H174" s="144" t="s">
        <v>68</v>
      </c>
      <c r="I174" s="140" t="s">
        <v>259</v>
      </c>
      <c r="J174" s="140" t="s">
        <v>42</v>
      </c>
      <c r="K174" s="135" t="str">
        <f>LEFT(Table_2[[#This Row],[Flt. ID]],2)&amp;RIGHT(Table_2[[#This Row],[Flt. ID]],3)</f>
        <v>UO704</v>
      </c>
      <c r="L174" s="131" t="str">
        <f>"H"&amp;ROW(Table_2[[#This Row],[A/C]])+1&amp;":H300"</f>
        <v>H175:H300</v>
      </c>
      <c r="M174" s="164" t="str">
        <f>IFERROR(
    IF(Table_2[[#This Row],[Arr/ Dep]]="A",
        IF(
            INDEX(B175:B419,MATCH(Table_2[[#This Row],[A/C]],H175:H419,0))
            - IF(Table_2[[#This Row],[ETA/ETD]]="",Table_2[[#This Row],[STA/STD]],Table_2[[#This Row],[ETA/ETD]]) &lt; 0,
            "ASAP",
            IF(Table_2[[#This Row],[ETA/ETD]]="",
                INDEX(B175:B419,MATCH(Table_2[[#This Row],[A/C]],H175:H419,0))-Table_2[[#This Row],[STA/STD]],
                INDEX(B175:B419,MATCH(Table_2[[#This Row],[A/C]],H175:H419,0))-Table_2[[#This Row],[ETA/ETD]])
        ),
        ""
    ),
"TBC")</f>
        <v/>
      </c>
      <c r="N174" s="140" t="str" cm="1">
        <f t="array" ref="N17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4" s="17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4" s="176" t="str">
        <f>Table_2[[#This Row],[A/C]]&amp;Table_2[[#This Row],[Column2]]</f>
        <v>BKKDUO704</v>
      </c>
      <c r="Q17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4" s="166" t="str">
        <f>IFERROR(Table_2[[#This Row],[UTC TIME]]-TIME(1,30,0),"")</f>
        <v/>
      </c>
      <c r="S174" s="167"/>
      <c r="T174" s="167"/>
      <c r="U174" s="133"/>
      <c r="V174" s="133"/>
      <c r="W174" s="133"/>
      <c r="X174" s="133"/>
      <c r="Y174" s="133"/>
    </row>
    <row r="175" spans="1:25" hidden="1">
      <c r="A175" s="140" t="s">
        <v>127</v>
      </c>
      <c r="B175" s="163">
        <v>46067.329861111109</v>
      </c>
      <c r="C175" s="163"/>
      <c r="D175" s="136" t="s">
        <v>259</v>
      </c>
      <c r="E175" s="140" t="s">
        <v>128</v>
      </c>
      <c r="F175" s="280" t="s">
        <v>129</v>
      </c>
      <c r="G175" s="280"/>
      <c r="H175" s="144" t="s">
        <v>184</v>
      </c>
      <c r="I175" s="140" t="s">
        <v>259</v>
      </c>
      <c r="J175" s="140" t="s">
        <v>42</v>
      </c>
      <c r="K175" s="135" t="str">
        <f>LEFT(Table_2[[#This Row],[Flt. ID]],2)&amp;RIGHT(Table_2[[#This Row],[Flt. ID]],3)</f>
        <v>UO598</v>
      </c>
      <c r="L175" s="131" t="str">
        <f>"H"&amp;ROW(Table_2[[#This Row],[A/C]])+1&amp;":H300"</f>
        <v>H176:H300</v>
      </c>
      <c r="M175" s="164" t="str">
        <f>IFERROR(
    IF(Table_2[[#This Row],[Arr/ Dep]]="A",
        IF(
            INDEX(B176:B420,MATCH(Table_2[[#This Row],[A/C]],H176:H420,0))
            - IF(Table_2[[#This Row],[ETA/ETD]]="",Table_2[[#This Row],[STA/STD]],Table_2[[#This Row],[ETA/ETD]]) &lt; 0,
            "ASAP",
            IF(Table_2[[#This Row],[ETA/ETD]]="",
                INDEX(B176:B420,MATCH(Table_2[[#This Row],[A/C]],H176:H420,0))-Table_2[[#This Row],[STA/STD]],
                INDEX(B176:B420,MATCH(Table_2[[#This Row],[A/C]],H176:H420,0))-Table_2[[#This Row],[ETA/ETD]])
        ),
        ""
    ),
"TBC")</f>
        <v/>
      </c>
      <c r="N175" s="140" t="str" cm="1">
        <f t="array" ref="N17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5" s="135" t="str">
        <f>Table_2[[#This Row],[A/C]]&amp;Table_2[[#This Row],[Column2]]</f>
        <v>BLELUO598</v>
      </c>
      <c r="Q17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5" s="166" t="str">
        <f>IFERROR(Table_2[[#This Row],[UTC TIME]]-TIME(1,30,0),"")</f>
        <v/>
      </c>
      <c r="S175" s="167"/>
      <c r="T175" s="167"/>
      <c r="U175" s="133"/>
      <c r="V175" s="133"/>
      <c r="W175" s="133"/>
      <c r="X175" s="133"/>
      <c r="Y175" s="133"/>
    </row>
    <row r="176" spans="1:25" hidden="1">
      <c r="A176" s="140" t="s">
        <v>132</v>
      </c>
      <c r="B176" s="163">
        <v>46067.333333333336</v>
      </c>
      <c r="C176" s="163"/>
      <c r="D176" s="136" t="s">
        <v>259</v>
      </c>
      <c r="E176" s="140" t="s">
        <v>133</v>
      </c>
      <c r="F176" s="280" t="s">
        <v>134</v>
      </c>
      <c r="G176" s="280"/>
      <c r="H176" s="144" t="s">
        <v>259</v>
      </c>
      <c r="I176" s="140" t="s">
        <v>259</v>
      </c>
      <c r="J176" s="140" t="s">
        <v>42</v>
      </c>
      <c r="K176" s="135" t="str">
        <f>LEFT(Table_2[[#This Row],[Flt. ID]],2)&amp;RIGHT(Table_2[[#This Row],[Flt. ID]],3)</f>
        <v>UO130</v>
      </c>
      <c r="L176" s="131" t="str">
        <f>"H"&amp;ROW(Table_2[[#This Row],[A/C]])+1&amp;":H300"</f>
        <v>H177:H300</v>
      </c>
      <c r="M176" s="164" t="str">
        <f>IFERROR(
    IF(Table_2[[#This Row],[Arr/ Dep]]="A",
        IF(
            INDEX(B177:B421,MATCH(Table_2[[#This Row],[A/C]],H177:H421,0))
            - IF(Table_2[[#This Row],[ETA/ETD]]="",Table_2[[#This Row],[STA/STD]],Table_2[[#This Row],[ETA/ETD]]) &lt; 0,
            "ASAP",
            IF(Table_2[[#This Row],[ETA/ETD]]="",
                INDEX(B177:B421,MATCH(Table_2[[#This Row],[A/C]],H177:H421,0))-Table_2[[#This Row],[STA/STD]],
                INDEX(B177:B421,MATCH(Table_2[[#This Row],[A/C]],H177:H421,0))-Table_2[[#This Row],[ETA/ETD]])
        ),
        ""
    ),
"TBC")</f>
        <v/>
      </c>
      <c r="N176" s="140" t="str" cm="1">
        <f t="array" ref="N17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6" s="135" t="str">
        <f>Table_2[[#This Row],[A/C]]&amp;Table_2[[#This Row],[Column2]]</f>
        <v>-UO130</v>
      </c>
      <c r="Q17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6" s="166" t="str">
        <f>IFERROR(Table_2[[#This Row],[UTC TIME]]-TIME(1,30,0),"")</f>
        <v/>
      </c>
      <c r="S176" s="167"/>
      <c r="T176" s="167"/>
      <c r="U176" s="133"/>
      <c r="V176" s="133"/>
    </row>
    <row r="177" spans="1:25" hidden="1">
      <c r="A177" s="140" t="s">
        <v>139</v>
      </c>
      <c r="B177" s="163">
        <v>46067.34375</v>
      </c>
      <c r="C177" s="163"/>
      <c r="D177" s="136" t="s">
        <v>259</v>
      </c>
      <c r="E177" s="140" t="s">
        <v>140</v>
      </c>
      <c r="F177" s="280" t="s">
        <v>141</v>
      </c>
      <c r="G177" s="280"/>
      <c r="H177" s="144" t="s">
        <v>259</v>
      </c>
      <c r="I177" s="140" t="s">
        <v>259</v>
      </c>
      <c r="J177" s="140" t="s">
        <v>42</v>
      </c>
      <c r="K177" s="135" t="str">
        <f>LEFT(Table_2[[#This Row],[Flt. ID]],2)&amp;RIGHT(Table_2[[#This Row],[Flt. ID]],3)</f>
        <v>UO552</v>
      </c>
      <c r="L177" s="131" t="str">
        <f>"H"&amp;ROW(Table_2[[#This Row],[A/C]])+1&amp;":H300"</f>
        <v>H178:H300</v>
      </c>
      <c r="M177" s="164" t="str">
        <f>IFERROR(
    IF(Table_2[[#This Row],[Arr/ Dep]]="A",
        IF(
            INDEX(B178:B422,MATCH(Table_2[[#This Row],[A/C]],H178:H422,0))
            - IF(Table_2[[#This Row],[ETA/ETD]]="",Table_2[[#This Row],[STA/STD]],Table_2[[#This Row],[ETA/ETD]]) &lt; 0,
            "ASAP",
            IF(Table_2[[#This Row],[ETA/ETD]]="",
                INDEX(B178:B422,MATCH(Table_2[[#This Row],[A/C]],H178:H422,0))-Table_2[[#This Row],[STA/STD]],
                INDEX(B178:B422,MATCH(Table_2[[#This Row],[A/C]],H178:H422,0))-Table_2[[#This Row],[ETA/ETD]])
        ),
        ""
    ),
"TBC")</f>
        <v/>
      </c>
      <c r="N177" s="140" t="str" cm="1">
        <f t="array" ref="N17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7" s="135" t="str">
        <f>Table_2[[#This Row],[A/C]]&amp;Table_2[[#This Row],[Column2]]</f>
        <v>-UO552</v>
      </c>
      <c r="Q17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7" s="166" t="str">
        <f>IFERROR(Table_2[[#This Row],[UTC TIME]]-TIME(1,30,0),"")</f>
        <v/>
      </c>
      <c r="S177" s="167"/>
      <c r="T177" s="167"/>
      <c r="U177" s="133"/>
      <c r="V177" s="133"/>
      <c r="W177" s="133"/>
      <c r="X177" s="133"/>
      <c r="Y177" s="133"/>
    </row>
    <row r="178" spans="1:25" hidden="1">
      <c r="A178" s="140" t="s">
        <v>135</v>
      </c>
      <c r="B178" s="163">
        <v>46067.34375</v>
      </c>
      <c r="C178" s="163"/>
      <c r="D178" s="136" t="s">
        <v>259</v>
      </c>
      <c r="E178" s="140" t="s">
        <v>136</v>
      </c>
      <c r="F178" s="280" t="s">
        <v>137</v>
      </c>
      <c r="G178" s="280"/>
      <c r="H178" s="144" t="s">
        <v>259</v>
      </c>
      <c r="I178" s="140" t="s">
        <v>259</v>
      </c>
      <c r="J178" s="140" t="s">
        <v>42</v>
      </c>
      <c r="K178" s="135" t="str">
        <f>LEFT(Table_2[[#This Row],[Flt. ID]],2)&amp;RIGHT(Table_2[[#This Row],[Flt. ID]],3)</f>
        <v>UO838</v>
      </c>
      <c r="L178" s="131" t="str">
        <f>"H"&amp;ROW(Table_2[[#This Row],[A/C]])+1&amp;":H300"</f>
        <v>H179:H300</v>
      </c>
      <c r="M178" s="164" t="str">
        <f>IFERROR(
    IF(Table_2[[#This Row],[Arr/ Dep]]="A",
        IF(
            INDEX(B179:B423,MATCH(Table_2[[#This Row],[A/C]],H179:H423,0))
            - IF(Table_2[[#This Row],[ETA/ETD]]="",Table_2[[#This Row],[STA/STD]],Table_2[[#This Row],[ETA/ETD]]) &lt; 0,
            "ASAP",
            IF(Table_2[[#This Row],[ETA/ETD]]="",
                INDEX(B179:B423,MATCH(Table_2[[#This Row],[A/C]],H179:H423,0))-Table_2[[#This Row],[STA/STD]],
                INDEX(B179:B423,MATCH(Table_2[[#This Row],[A/C]],H179:H423,0))-Table_2[[#This Row],[ETA/ETD]])
        ),
        ""
    ),
"TBC")</f>
        <v/>
      </c>
      <c r="N178" s="140" t="str" cm="1">
        <f t="array" ref="N17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8" s="135" t="str">
        <f>Table_2[[#This Row],[A/C]]&amp;Table_2[[#This Row],[Column2]]</f>
        <v>-UO838</v>
      </c>
      <c r="Q17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8" s="166" t="str">
        <f>IFERROR(Table_2[[#This Row],[UTC TIME]]-TIME(1,30,0),"")</f>
        <v/>
      </c>
      <c r="S178" s="167"/>
      <c r="T178" s="195"/>
      <c r="U178" s="133"/>
      <c r="V178" s="133"/>
    </row>
    <row r="179" spans="1:25" hidden="1">
      <c r="A179" s="140" t="s">
        <v>144</v>
      </c>
      <c r="B179" s="163">
        <v>46067.350694444445</v>
      </c>
      <c r="C179" s="163"/>
      <c r="D179" s="136" t="s">
        <v>259</v>
      </c>
      <c r="E179" s="140" t="s">
        <v>22</v>
      </c>
      <c r="F179" s="280" t="s">
        <v>23</v>
      </c>
      <c r="G179" s="280"/>
      <c r="H179" s="144" t="s">
        <v>259</v>
      </c>
      <c r="I179" s="140" t="s">
        <v>259</v>
      </c>
      <c r="J179" s="140" t="s">
        <v>42</v>
      </c>
      <c r="K179" s="135" t="str">
        <f>LEFT(Table_2[[#This Row],[Flt. ID]],2)&amp;RIGHT(Table_2[[#This Row],[Flt. ID]],3)</f>
        <v>UO686</v>
      </c>
      <c r="L179" s="131" t="str">
        <f>"H"&amp;ROW(Table_2[[#This Row],[A/C]])+1&amp;":H300"</f>
        <v>H180:H300</v>
      </c>
      <c r="M179" s="164" t="str">
        <f>IFERROR(
    IF(Table_2[[#This Row],[Arr/ Dep]]="A",
        IF(
            INDEX(B180:B424,MATCH(Table_2[[#This Row],[A/C]],H180:H424,0))
            - IF(Table_2[[#This Row],[ETA/ETD]]="",Table_2[[#This Row],[STA/STD]],Table_2[[#This Row],[ETA/ETD]]) &lt; 0,
            "ASAP",
            IF(Table_2[[#This Row],[ETA/ETD]]="",
                INDEX(B180:B424,MATCH(Table_2[[#This Row],[A/C]],H180:H424,0))-Table_2[[#This Row],[STA/STD]],
                INDEX(B180:B424,MATCH(Table_2[[#This Row],[A/C]],H180:H424,0))-Table_2[[#This Row],[ETA/ETD]])
        ),
        ""
    ),
"TBC")</f>
        <v/>
      </c>
      <c r="N179" s="140" t="str" cm="1">
        <f t="array" ref="N17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7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79" s="135" t="str">
        <f>Table_2[[#This Row],[A/C]]&amp;Table_2[[#This Row],[Column2]]</f>
        <v>-UO686</v>
      </c>
      <c r="Q17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79" s="166" t="str">
        <f>IFERROR(Table_2[[#This Row],[UTC TIME]]-TIME(1,30,0),"")</f>
        <v/>
      </c>
      <c r="S179" s="167"/>
      <c r="T179" s="193"/>
      <c r="U179" s="133"/>
      <c r="V179" s="133"/>
    </row>
    <row r="180" spans="1:25" hidden="1">
      <c r="A180" s="140" t="s">
        <v>246</v>
      </c>
      <c r="B180" s="163">
        <v>46067.364583333336</v>
      </c>
      <c r="C180" s="163"/>
      <c r="D180" s="136" t="s">
        <v>259</v>
      </c>
      <c r="E180" s="140" t="s">
        <v>247</v>
      </c>
      <c r="F180" s="280" t="s">
        <v>248</v>
      </c>
      <c r="G180" s="280"/>
      <c r="H180" s="144" t="s">
        <v>259</v>
      </c>
      <c r="I180" s="140" t="s">
        <v>259</v>
      </c>
      <c r="J180" s="140" t="s">
        <v>42</v>
      </c>
      <c r="K180" s="135" t="str">
        <f>LEFT(Table_2[[#This Row],[Flt. ID]],2)&amp;RIGHT(Table_2[[#This Row],[Flt. ID]],3)</f>
        <v>UO250</v>
      </c>
      <c r="L180" s="131" t="str">
        <f>"H"&amp;ROW(Table_2[[#This Row],[A/C]])+1&amp;":H300"</f>
        <v>H181:H300</v>
      </c>
      <c r="M180" s="164" t="str">
        <f>IFERROR(
    IF(Table_2[[#This Row],[Arr/ Dep]]="A",
        IF(
            INDEX(B181:B425,MATCH(Table_2[[#This Row],[A/C]],H181:H425,0))
            - IF(Table_2[[#This Row],[ETA/ETD]]="",Table_2[[#This Row],[STA/STD]],Table_2[[#This Row],[ETA/ETD]]) &lt; 0,
            "ASAP",
            IF(Table_2[[#This Row],[ETA/ETD]]="",
                INDEX(B181:B425,MATCH(Table_2[[#This Row],[A/C]],H181:H425,0))-Table_2[[#This Row],[STA/STD]],
                INDEX(B181:B425,MATCH(Table_2[[#This Row],[A/C]],H181:H425,0))-Table_2[[#This Row],[ETA/ETD]])
        ),
        ""
    ),
"TBC")</f>
        <v/>
      </c>
      <c r="N180" s="140" t="str" cm="1">
        <f t="array" ref="N18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0" s="135" t="str">
        <f>Table_2[[#This Row],[A/C]]&amp;Table_2[[#This Row],[Column2]]</f>
        <v>-UO250</v>
      </c>
      <c r="Q18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0" s="166" t="str">
        <f>IFERROR(Table_2[[#This Row],[UTC TIME]]-TIME(1,30,0),"")</f>
        <v/>
      </c>
      <c r="S180" s="167"/>
      <c r="T180" s="167"/>
      <c r="U180" s="133"/>
      <c r="V180" s="133"/>
      <c r="W180" s="133"/>
      <c r="X180" s="133"/>
      <c r="Y180" s="133"/>
    </row>
    <row r="181" spans="1:25" hidden="1">
      <c r="A181" s="140" t="s">
        <v>145</v>
      </c>
      <c r="B181" s="163">
        <v>46067.371527777781</v>
      </c>
      <c r="C181" s="163"/>
      <c r="D181" s="136" t="s">
        <v>259</v>
      </c>
      <c r="E181" s="140" t="s">
        <v>146</v>
      </c>
      <c r="F181" s="280" t="s">
        <v>147</v>
      </c>
      <c r="G181" s="280"/>
      <c r="H181" s="144" t="s">
        <v>259</v>
      </c>
      <c r="I181" s="140" t="s">
        <v>259</v>
      </c>
      <c r="J181" s="140" t="s">
        <v>42</v>
      </c>
      <c r="K181" s="135" t="str">
        <f>LEFT(Table_2[[#This Row],[Flt. ID]],2)&amp;RIGHT(Table_2[[#This Row],[Flt. ID]],3)</f>
        <v>UO674</v>
      </c>
      <c r="L181" s="131" t="str">
        <f>"H"&amp;ROW(Table_2[[#This Row],[A/C]])+1&amp;":H300"</f>
        <v>H182:H300</v>
      </c>
      <c r="M181" s="164" t="str">
        <f>IFERROR(
    IF(Table_2[[#This Row],[Arr/ Dep]]="A",
        IF(
            INDEX(B182:B426,MATCH(Table_2[[#This Row],[A/C]],H182:H426,0))
            - IF(Table_2[[#This Row],[ETA/ETD]]="",Table_2[[#This Row],[STA/STD]],Table_2[[#This Row],[ETA/ETD]]) &lt; 0,
            "ASAP",
            IF(Table_2[[#This Row],[ETA/ETD]]="",
                INDEX(B182:B426,MATCH(Table_2[[#This Row],[A/C]],H182:H426,0))-Table_2[[#This Row],[STA/STD]],
                INDEX(B182:B426,MATCH(Table_2[[#This Row],[A/C]],H182:H426,0))-Table_2[[#This Row],[ETA/ETD]])
        ),
        ""
    ),
"TBC")</f>
        <v/>
      </c>
      <c r="N181" s="140" t="str" cm="1">
        <f t="array" ref="N18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1" s="135" t="str">
        <f>Table_2[[#This Row],[A/C]]&amp;Table_2[[#This Row],[Column2]]</f>
        <v>-UO674</v>
      </c>
      <c r="Q18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1" s="166" t="str">
        <f>IFERROR(Table_2[[#This Row],[UTC TIME]]-TIME(1,30,0),"")</f>
        <v/>
      </c>
      <c r="S181" s="167"/>
      <c r="T181" s="167"/>
      <c r="U181" s="133"/>
      <c r="V181" s="133"/>
      <c r="W181" s="133"/>
      <c r="X181" s="133"/>
      <c r="Y181" s="133"/>
    </row>
    <row r="182" spans="1:25" hidden="1">
      <c r="A182" s="140" t="s">
        <v>306</v>
      </c>
      <c r="B182" s="163">
        <v>46067.375</v>
      </c>
      <c r="C182" s="163"/>
      <c r="D182" s="136" t="s">
        <v>259</v>
      </c>
      <c r="E182" s="140" t="s">
        <v>307</v>
      </c>
      <c r="F182" s="280" t="s">
        <v>308</v>
      </c>
      <c r="G182" s="280"/>
      <c r="H182" s="144" t="s">
        <v>259</v>
      </c>
      <c r="I182" s="140" t="s">
        <v>259</v>
      </c>
      <c r="J182" s="140" t="s">
        <v>42</v>
      </c>
      <c r="K182" s="135" t="str">
        <f>LEFT(Table_2[[#This Row],[Flt. ID]],2)&amp;RIGHT(Table_2[[#This Row],[Flt. ID]],3)</f>
        <v>UO890</v>
      </c>
      <c r="L182" s="131" t="str">
        <f>"H"&amp;ROW(Table_2[[#This Row],[A/C]])+1&amp;":H300"</f>
        <v>H183:H300</v>
      </c>
      <c r="M182" s="164" t="str">
        <f>IFERROR(
    IF(Table_2[[#This Row],[Arr/ Dep]]="A",
        IF(
            INDEX(B183:B427,MATCH(Table_2[[#This Row],[A/C]],H183:H427,0))
            - IF(Table_2[[#This Row],[ETA/ETD]]="",Table_2[[#This Row],[STA/STD]],Table_2[[#This Row],[ETA/ETD]]) &lt; 0,
            "ASAP",
            IF(Table_2[[#This Row],[ETA/ETD]]="",
                INDEX(B183:B427,MATCH(Table_2[[#This Row],[A/C]],H183:H427,0))-Table_2[[#This Row],[STA/STD]],
                INDEX(B183:B427,MATCH(Table_2[[#This Row],[A/C]],H183:H427,0))-Table_2[[#This Row],[ETA/ETD]])
        ),
        ""
    ),
"TBC")</f>
        <v/>
      </c>
      <c r="N182" s="140" t="str" cm="1">
        <f t="array" ref="N18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2" s="135" t="str">
        <f>Table_2[[#This Row],[A/C]]&amp;Table_2[[#This Row],[Column2]]</f>
        <v>-UO890</v>
      </c>
      <c r="Q18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2" s="166" t="str">
        <f>IFERROR(Table_2[[#This Row],[UTC TIME]]-TIME(1,30,0),"")</f>
        <v/>
      </c>
      <c r="S182" s="167"/>
      <c r="T182" s="167"/>
      <c r="U182" s="133"/>
      <c r="V182" s="133"/>
      <c r="W182" s="133"/>
      <c r="X182" s="133"/>
      <c r="Y182" s="133"/>
    </row>
    <row r="183" spans="1:25" hidden="1">
      <c r="A183" s="140" t="s">
        <v>148</v>
      </c>
      <c r="B183" s="163">
        <v>46067.388888888891</v>
      </c>
      <c r="C183" s="163"/>
      <c r="D183" s="136" t="s">
        <v>259</v>
      </c>
      <c r="E183" s="140" t="s">
        <v>149</v>
      </c>
      <c r="F183" s="280" t="s">
        <v>150</v>
      </c>
      <c r="G183" s="280"/>
      <c r="H183" s="144" t="s">
        <v>259</v>
      </c>
      <c r="I183" s="140" t="s">
        <v>259</v>
      </c>
      <c r="J183" s="140" t="s">
        <v>42</v>
      </c>
      <c r="K183" s="135" t="str">
        <f>LEFT(Table_2[[#This Row],[Flt. ID]],2)&amp;RIGHT(Table_2[[#This Row],[Flt. ID]],3)</f>
        <v>UO642</v>
      </c>
      <c r="L183" s="131" t="str">
        <f>"H"&amp;ROW(Table_2[[#This Row],[A/C]])+1&amp;":H300"</f>
        <v>H184:H300</v>
      </c>
      <c r="M183" s="164" t="str">
        <f>IFERROR(
    IF(Table_2[[#This Row],[Arr/ Dep]]="A",
        IF(
            INDEX(B184:B428,MATCH(Table_2[[#This Row],[A/C]],H184:H428,0))
            - IF(Table_2[[#This Row],[ETA/ETD]]="",Table_2[[#This Row],[STA/STD]],Table_2[[#This Row],[ETA/ETD]]) &lt; 0,
            "ASAP",
            IF(Table_2[[#This Row],[ETA/ETD]]="",
                INDEX(B184:B428,MATCH(Table_2[[#This Row],[A/C]],H184:H428,0))-Table_2[[#This Row],[STA/STD]],
                INDEX(B184:B428,MATCH(Table_2[[#This Row],[A/C]],H184:H428,0))-Table_2[[#This Row],[ETA/ETD]])
        ),
        ""
    ),
"TBC")</f>
        <v/>
      </c>
      <c r="N183" s="140" t="str" cm="1">
        <f t="array" ref="N18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3" s="135" t="str">
        <f>Table_2[[#This Row],[A/C]]&amp;Table_2[[#This Row],[Column2]]</f>
        <v>-UO642</v>
      </c>
      <c r="Q18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3" s="166" t="str">
        <f>IFERROR(Table_2[[#This Row],[UTC TIME]]-TIME(1,30,0),"")</f>
        <v/>
      </c>
      <c r="S183" s="167"/>
      <c r="T183" s="167"/>
      <c r="U183" s="133"/>
      <c r="V183" s="210"/>
      <c r="W183" s="133"/>
      <c r="X183" s="133"/>
      <c r="Y183" s="133"/>
    </row>
    <row r="184" spans="1:25" hidden="1">
      <c r="A184" s="140" t="s">
        <v>152</v>
      </c>
      <c r="B184" s="163">
        <v>46067.388888888891</v>
      </c>
      <c r="C184" s="163"/>
      <c r="D184" s="136" t="s">
        <v>259</v>
      </c>
      <c r="E184" s="140" t="s">
        <v>28</v>
      </c>
      <c r="F184" s="280" t="s">
        <v>29</v>
      </c>
      <c r="G184" s="280"/>
      <c r="H184" s="144" t="s">
        <v>259</v>
      </c>
      <c r="I184" s="140" t="s">
        <v>259</v>
      </c>
      <c r="J184" s="140" t="s">
        <v>42</v>
      </c>
      <c r="K184" s="135" t="str">
        <f>LEFT(Table_2[[#This Row],[Flt. ID]],2)&amp;RIGHT(Table_2[[#This Row],[Flt. ID]],3)</f>
        <v>UO848</v>
      </c>
      <c r="L184" s="131" t="str">
        <f>"H"&amp;ROW(Table_2[[#This Row],[A/C]])+1&amp;":H300"</f>
        <v>H185:H300</v>
      </c>
      <c r="M184" s="164" t="str">
        <f>IFERROR(
    IF(Table_2[[#This Row],[Arr/ Dep]]="A",
        IF(
            INDEX(B185:B429,MATCH(Table_2[[#This Row],[A/C]],H185:H429,0))
            - IF(Table_2[[#This Row],[ETA/ETD]]="",Table_2[[#This Row],[STA/STD]],Table_2[[#This Row],[ETA/ETD]]) &lt; 0,
            "ASAP",
            IF(Table_2[[#This Row],[ETA/ETD]]="",
                INDEX(B185:B429,MATCH(Table_2[[#This Row],[A/C]],H185:H429,0))-Table_2[[#This Row],[STA/STD]],
                INDEX(B185:B429,MATCH(Table_2[[#This Row],[A/C]],H185:H429,0))-Table_2[[#This Row],[ETA/ETD]])
        ),
        ""
    ),
"TBC")</f>
        <v/>
      </c>
      <c r="N184" s="140" t="str" cm="1">
        <f t="array" ref="N18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4" s="135" t="str">
        <f>Table_2[[#This Row],[A/C]]&amp;Table_2[[#This Row],[Column2]]</f>
        <v>-UO848</v>
      </c>
      <c r="Q18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4" s="166" t="str">
        <f>IFERROR(Table_2[[#This Row],[UTC TIME]]-TIME(1,30,0),"")</f>
        <v/>
      </c>
      <c r="S184" s="138"/>
      <c r="T184" s="180"/>
    </row>
    <row r="185" spans="1:25" hidden="1">
      <c r="A185" s="140" t="s">
        <v>309</v>
      </c>
      <c r="B185" s="163">
        <v>46067.395833333336</v>
      </c>
      <c r="C185" s="163"/>
      <c r="D185" s="136" t="s">
        <v>259</v>
      </c>
      <c r="E185" s="140" t="s">
        <v>310</v>
      </c>
      <c r="F185" s="280" t="s">
        <v>311</v>
      </c>
      <c r="G185" s="280"/>
      <c r="H185" s="144" t="s">
        <v>259</v>
      </c>
      <c r="I185" s="140" t="s">
        <v>259</v>
      </c>
      <c r="J185" s="140" t="s">
        <v>42</v>
      </c>
      <c r="K185" s="135" t="str">
        <f>LEFT(Table_2[[#This Row],[Flt. ID]],2)&amp;RIGHT(Table_2[[#This Row],[Flt. ID]],3)</f>
        <v>UO822</v>
      </c>
      <c r="L185" s="131" t="str">
        <f>"H"&amp;ROW(Table_2[[#This Row],[A/C]])+1&amp;":H300"</f>
        <v>H186:H300</v>
      </c>
      <c r="M185" s="164" t="str">
        <f>IFERROR(
    IF(Table_2[[#This Row],[Arr/ Dep]]="A",
        IF(
            INDEX(B186:B430,MATCH(Table_2[[#This Row],[A/C]],H186:H430,0))
            - IF(Table_2[[#This Row],[ETA/ETD]]="",Table_2[[#This Row],[STA/STD]],Table_2[[#This Row],[ETA/ETD]]) &lt; 0,
            "ASAP",
            IF(Table_2[[#This Row],[ETA/ETD]]="",
                INDEX(B186:B430,MATCH(Table_2[[#This Row],[A/C]],H186:H430,0))-Table_2[[#This Row],[STA/STD]],
                INDEX(B186:B430,MATCH(Table_2[[#This Row],[A/C]],H186:H430,0))-Table_2[[#This Row],[ETA/ETD]])
        ),
        ""
    ),
"TBC")</f>
        <v/>
      </c>
      <c r="N185" s="140" t="str" cm="1">
        <f t="array" ref="N18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5" s="135" t="str">
        <f>Table_2[[#This Row],[A/C]]&amp;Table_2[[#This Row],[Column2]]</f>
        <v>-UO822</v>
      </c>
      <c r="Q18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5" s="166" t="str">
        <f>IFERROR(Table_2[[#This Row],[UTC TIME]]-TIME(1,30,0),"")</f>
        <v/>
      </c>
      <c r="S185" s="185"/>
      <c r="T185" s="194"/>
      <c r="U185" s="133"/>
      <c r="V185" s="133"/>
    </row>
    <row r="186" spans="1:25" hidden="1">
      <c r="A186" s="140" t="s">
        <v>154</v>
      </c>
      <c r="B186" s="163">
        <v>46067.409722222219</v>
      </c>
      <c r="C186" s="163"/>
      <c r="D186" s="136" t="s">
        <v>259</v>
      </c>
      <c r="E186" s="140" t="s">
        <v>38</v>
      </c>
      <c r="F186" s="280" t="s">
        <v>39</v>
      </c>
      <c r="G186" s="280"/>
      <c r="H186" s="144" t="s">
        <v>259</v>
      </c>
      <c r="I186" s="140" t="s">
        <v>259</v>
      </c>
      <c r="J186" s="140" t="s">
        <v>26</v>
      </c>
      <c r="K186" s="135" t="str">
        <f>LEFT(Table_2[[#This Row],[Flt. ID]],2)&amp;RIGHT(Table_2[[#This Row],[Flt. ID]],3)</f>
        <v>UO617</v>
      </c>
      <c r="L186" s="131" t="str">
        <f>"H"&amp;ROW(Table_2[[#This Row],[A/C]])+1&amp;":H300"</f>
        <v>H187:H300</v>
      </c>
      <c r="M186" s="164">
        <f>IFERROR(
    IF(Table_2[[#This Row],[Arr/ Dep]]="A",
        IF(
            INDEX(B187:B431,MATCH(Table_2[[#This Row],[A/C]],H187:H431,0))
            - IF(Table_2[[#This Row],[ETA/ETD]]="",Table_2[[#This Row],[STA/STD]],Table_2[[#This Row],[ETA/ETD]]) &lt; 0,
            "ASAP",
            IF(Table_2[[#This Row],[ETA/ETD]]="",
                INDEX(B187:B431,MATCH(Table_2[[#This Row],[A/C]],H187:H431,0))-Table_2[[#This Row],[STA/STD]],
                INDEX(B187:B431,MATCH(Table_2[[#This Row],[A/C]],H187:H431,0))-Table_2[[#This Row],[ETA/ETD]])
        ),
        ""
    ),
"TBC")</f>
        <v>3.4722222262644209E-3</v>
      </c>
      <c r="N186" s="140" t="str" cm="1">
        <f t="array" ref="N18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6" s="135" t="str">
        <f>Table_2[[#This Row],[A/C]]&amp;Table_2[[#This Row],[Column2]]</f>
        <v>-UO617</v>
      </c>
      <c r="Q18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6" s="166" t="str">
        <f>IFERROR(Table_2[[#This Row],[UTC TIME]]-TIME(1,30,0),"")</f>
        <v/>
      </c>
      <c r="S186" s="181"/>
      <c r="T186" s="182"/>
      <c r="U186" s="157"/>
      <c r="V186" s="177"/>
      <c r="W186" s="157"/>
      <c r="X186" s="157"/>
      <c r="Y186" s="157"/>
    </row>
    <row r="187" spans="1:25" hidden="1">
      <c r="A187" s="140" t="s">
        <v>155</v>
      </c>
      <c r="B187" s="163">
        <v>46067.413194444445</v>
      </c>
      <c r="C187" s="163"/>
      <c r="D187" s="136" t="s">
        <v>259</v>
      </c>
      <c r="E187" s="140" t="s">
        <v>22</v>
      </c>
      <c r="F187" s="280" t="s">
        <v>23</v>
      </c>
      <c r="G187" s="280"/>
      <c r="H187" s="144" t="s">
        <v>259</v>
      </c>
      <c r="I187" s="140" t="s">
        <v>259</v>
      </c>
      <c r="J187" s="140" t="s">
        <v>42</v>
      </c>
      <c r="K187" s="135" t="str">
        <f>LEFT(Table_2[[#This Row],[Flt. ID]],2)&amp;RIGHT(Table_2[[#This Row],[Flt. ID]],3)</f>
        <v>UO850</v>
      </c>
      <c r="L187" s="131" t="str">
        <f>"H"&amp;ROW(Table_2[[#This Row],[A/C]])+1&amp;":H300"</f>
        <v>H188:H300</v>
      </c>
      <c r="M187" s="164" t="str">
        <f>IFERROR(
    IF(Table_2[[#This Row],[Arr/ Dep]]="A",
        IF(
            INDEX(B188:B432,MATCH(Table_2[[#This Row],[A/C]],H188:H432,0))
            - IF(Table_2[[#This Row],[ETA/ETD]]="",Table_2[[#This Row],[STA/STD]],Table_2[[#This Row],[ETA/ETD]]) &lt; 0,
            "ASAP",
            IF(Table_2[[#This Row],[ETA/ETD]]="",
                INDEX(B188:B432,MATCH(Table_2[[#This Row],[A/C]],H188:H432,0))-Table_2[[#This Row],[STA/STD]],
                INDEX(B188:B432,MATCH(Table_2[[#This Row],[A/C]],H188:H432,0))-Table_2[[#This Row],[ETA/ETD]])
        ),
        ""
    ),
"TBC")</f>
        <v/>
      </c>
      <c r="N187" s="140" t="str" cm="1">
        <f t="array" ref="N18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7" s="135" t="str">
        <f>Table_2[[#This Row],[A/C]]&amp;Table_2[[#This Row],[Column2]]</f>
        <v>-UO850</v>
      </c>
      <c r="Q18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7" s="166" t="str">
        <f>IFERROR(Table_2[[#This Row],[UTC TIME]]-TIME(1,30,0),"")</f>
        <v/>
      </c>
      <c r="S187" s="167"/>
      <c r="T187" s="167"/>
      <c r="U187" s="133"/>
      <c r="V187" s="133"/>
      <c r="W187" s="133"/>
      <c r="X187" s="133"/>
      <c r="Y187" s="133"/>
    </row>
    <row r="188" spans="1:25" hidden="1">
      <c r="A188" s="140" t="s">
        <v>158</v>
      </c>
      <c r="B188" s="163">
        <v>46067.416666666664</v>
      </c>
      <c r="C188" s="163"/>
      <c r="D188" s="136" t="s">
        <v>259</v>
      </c>
      <c r="E188" s="140" t="s">
        <v>33</v>
      </c>
      <c r="F188" s="280" t="s">
        <v>34</v>
      </c>
      <c r="G188" s="280"/>
      <c r="H188" s="144" t="s">
        <v>259</v>
      </c>
      <c r="I188" s="140" t="s">
        <v>259</v>
      </c>
      <c r="J188" s="140" t="s">
        <v>42</v>
      </c>
      <c r="K188" s="135" t="str">
        <f>LEFT(Table_2[[#This Row],[Flt. ID]],2)&amp;RIGHT(Table_2[[#This Row],[Flt. ID]],3)</f>
        <v>UO680</v>
      </c>
      <c r="L188" s="131" t="str">
        <f>"H"&amp;ROW(Table_2[[#This Row],[A/C]])+1&amp;":H300"</f>
        <v>H189:H300</v>
      </c>
      <c r="M188" s="164" t="str">
        <f>IFERROR(
    IF(Table_2[[#This Row],[Arr/ Dep]]="A",
        IF(
            INDEX(B189:B433,MATCH(Table_2[[#This Row],[A/C]],H189:H433,0))
            - IF(Table_2[[#This Row],[ETA/ETD]]="",Table_2[[#This Row],[STA/STD]],Table_2[[#This Row],[ETA/ETD]]) &lt; 0,
            "ASAP",
            IF(Table_2[[#This Row],[ETA/ETD]]="",
                INDEX(B189:B433,MATCH(Table_2[[#This Row],[A/C]],H189:H433,0))-Table_2[[#This Row],[STA/STD]],
                INDEX(B189:B433,MATCH(Table_2[[#This Row],[A/C]],H189:H433,0))-Table_2[[#This Row],[ETA/ETD]])
        ),
        ""
    ),
"TBC")</f>
        <v/>
      </c>
      <c r="N188" s="140" t="str" cm="1">
        <f t="array" ref="N18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8" s="135" t="str">
        <f>Table_2[[#This Row],[A/C]]&amp;Table_2[[#This Row],[Column2]]</f>
        <v>-UO680</v>
      </c>
      <c r="Q18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8" s="166" t="str">
        <f>IFERROR(Table_2[[#This Row],[UTC TIME]]-TIME(1,30,0),"")</f>
        <v/>
      </c>
      <c r="S188" s="167"/>
      <c r="T188" s="195"/>
      <c r="U188" s="133"/>
      <c r="V188" s="133"/>
    </row>
    <row r="189" spans="1:25" hidden="1">
      <c r="A189" s="140" t="s">
        <v>160</v>
      </c>
      <c r="B189" s="163">
        <v>46067.423611111109</v>
      </c>
      <c r="C189" s="163"/>
      <c r="D189" s="136" t="s">
        <v>259</v>
      </c>
      <c r="E189" s="140" t="s">
        <v>128</v>
      </c>
      <c r="F189" s="280" t="s">
        <v>129</v>
      </c>
      <c r="G189" s="280"/>
      <c r="H189" s="144" t="s">
        <v>259</v>
      </c>
      <c r="I189" s="140" t="s">
        <v>259</v>
      </c>
      <c r="J189" s="140" t="s">
        <v>42</v>
      </c>
      <c r="K189" s="135" t="str">
        <f>LEFT(Table_2[[#This Row],[Flt. ID]],2)&amp;RIGHT(Table_2[[#This Row],[Flt. ID]],3)</f>
        <v>UO546</v>
      </c>
      <c r="L189" s="131" t="str">
        <f>"H"&amp;ROW(Table_2[[#This Row],[A/C]])+1&amp;":H300"</f>
        <v>H190:H300</v>
      </c>
      <c r="M189" s="164" t="str">
        <f>IFERROR(
    IF(Table_2[[#This Row],[Arr/ Dep]]="A",
        IF(
            INDEX(B190:B434,MATCH(Table_2[[#This Row],[A/C]],H190:H434,0))
            - IF(Table_2[[#This Row],[ETA/ETD]]="",Table_2[[#This Row],[STA/STD]],Table_2[[#This Row],[ETA/ETD]]) &lt; 0,
            "ASAP",
            IF(Table_2[[#This Row],[ETA/ETD]]="",
                INDEX(B190:B434,MATCH(Table_2[[#This Row],[A/C]],H190:H434,0))-Table_2[[#This Row],[STA/STD]],
                INDEX(B190:B434,MATCH(Table_2[[#This Row],[A/C]],H190:H434,0))-Table_2[[#This Row],[ETA/ETD]])
        ),
        ""
    ),
"TBC")</f>
        <v/>
      </c>
      <c r="N189" s="140" t="str" cm="1">
        <f t="array" ref="N18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8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89" s="135" t="str">
        <f>Table_2[[#This Row],[A/C]]&amp;Table_2[[#This Row],[Column2]]</f>
        <v>-UO546</v>
      </c>
      <c r="Q18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89" s="166" t="str">
        <f>IFERROR(Table_2[[#This Row],[UTC TIME]]-TIME(1,30,0),"")</f>
        <v/>
      </c>
      <c r="S189" s="185"/>
      <c r="T189" s="167"/>
      <c r="U189" s="133"/>
      <c r="V189" s="133"/>
      <c r="W189" s="133"/>
      <c r="X189" s="133"/>
      <c r="Y189" s="133"/>
    </row>
    <row r="190" spans="1:25" hidden="1">
      <c r="A190" s="140" t="s">
        <v>162</v>
      </c>
      <c r="B190" s="163">
        <v>46067.434027777781</v>
      </c>
      <c r="C190" s="163"/>
      <c r="D190" s="136" t="s">
        <v>259</v>
      </c>
      <c r="E190" s="140" t="s">
        <v>38</v>
      </c>
      <c r="F190" s="280" t="s">
        <v>39</v>
      </c>
      <c r="G190" s="280"/>
      <c r="H190" s="144" t="s">
        <v>259</v>
      </c>
      <c r="I190" s="140" t="s">
        <v>259</v>
      </c>
      <c r="J190" s="140" t="s">
        <v>42</v>
      </c>
      <c r="K190" s="135" t="str">
        <f>LEFT(Table_2[[#This Row],[Flt. ID]],2)&amp;RIGHT(Table_2[[#This Row],[Flt. ID]],3)</f>
        <v>UO630</v>
      </c>
      <c r="L190" s="131" t="str">
        <f>"H"&amp;ROW(Table_2[[#This Row],[A/C]])+1&amp;":H300"</f>
        <v>H191:H300</v>
      </c>
      <c r="M190" s="164" t="str">
        <f>IFERROR(
    IF(Table_2[[#This Row],[Arr/ Dep]]="A",
        IF(
            INDEX(B191:B435,MATCH(Table_2[[#This Row],[A/C]],H191:H435,0))
            - IF(Table_2[[#This Row],[ETA/ETD]]="",Table_2[[#This Row],[STA/STD]],Table_2[[#This Row],[ETA/ETD]]) &lt; 0,
            "ASAP",
            IF(Table_2[[#This Row],[ETA/ETD]]="",
                INDEX(B191:B435,MATCH(Table_2[[#This Row],[A/C]],H191:H435,0))-Table_2[[#This Row],[STA/STD]],
                INDEX(B191:B435,MATCH(Table_2[[#This Row],[A/C]],H191:H435,0))-Table_2[[#This Row],[ETA/ETD]])
        ),
        ""
    ),
"TBC")</f>
        <v/>
      </c>
      <c r="N190" s="140" t="str" cm="1">
        <f t="array" ref="N19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0" s="135" t="str">
        <f>Table_2[[#This Row],[A/C]]&amp;Table_2[[#This Row],[Column2]]</f>
        <v>-UO630</v>
      </c>
      <c r="Q19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0" s="166" t="str">
        <f>IFERROR(Table_2[[#This Row],[UTC TIME]]-TIME(1,30,0),"")</f>
        <v/>
      </c>
      <c r="S190" s="184"/>
      <c r="T190" s="167"/>
      <c r="U190" s="133"/>
      <c r="V190" s="133"/>
      <c r="W190" s="133"/>
      <c r="X190" s="133"/>
      <c r="Y190" s="133"/>
    </row>
    <row r="191" spans="1:25" hidden="1">
      <c r="A191" s="140" t="s">
        <v>164</v>
      </c>
      <c r="B191" s="163">
        <v>46067.434027777781</v>
      </c>
      <c r="C191" s="163"/>
      <c r="D191" s="136" t="s">
        <v>259</v>
      </c>
      <c r="E191" s="140" t="s">
        <v>63</v>
      </c>
      <c r="F191" s="280" t="s">
        <v>64</v>
      </c>
      <c r="G191" s="280"/>
      <c r="H191" s="144" t="s">
        <v>259</v>
      </c>
      <c r="I191" s="140" t="s">
        <v>259</v>
      </c>
      <c r="J191" s="140" t="s">
        <v>26</v>
      </c>
      <c r="K191" s="135" t="str">
        <f>LEFT(Table_2[[#This Row],[Flt. ID]],2)&amp;RIGHT(Table_2[[#This Row],[Flt. ID]],3)</f>
        <v>UO677</v>
      </c>
      <c r="L191" s="131" t="str">
        <f>"H"&amp;ROW(Table_2[[#This Row],[A/C]])+1&amp;":H300"</f>
        <v>H192:H300</v>
      </c>
      <c r="M191" s="164">
        <f>IFERROR(
    IF(Table_2[[#This Row],[Arr/ Dep]]="A",
        IF(
            INDEX(B192:B436,MATCH(Table_2[[#This Row],[A/C]],H192:H436,0))
            - IF(Table_2[[#This Row],[ETA/ETD]]="",Table_2[[#This Row],[STA/STD]],Table_2[[#This Row],[ETA/ETD]]) &lt; 0,
            "ASAP",
            IF(Table_2[[#This Row],[ETA/ETD]]="",
                INDEX(B192:B436,MATCH(Table_2[[#This Row],[A/C]],H192:H436,0))-Table_2[[#This Row],[STA/STD]],
                INDEX(B192:B436,MATCH(Table_2[[#This Row],[A/C]],H192:H436,0))-Table_2[[#This Row],[ETA/ETD]])
        ),
        ""
    ),
"TBC")</f>
        <v>6.9444444379769266E-3</v>
      </c>
      <c r="N191" s="140" t="str" cm="1">
        <f t="array" ref="N19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1" s="135" t="str">
        <f>Table_2[[#This Row],[A/C]]&amp;Table_2[[#This Row],[Column2]]</f>
        <v>-UO677</v>
      </c>
      <c r="Q19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1" s="166" t="str">
        <f>IFERROR(Table_2[[#This Row],[UTC TIME]]-TIME(1,30,0),"")</f>
        <v/>
      </c>
      <c r="S191" s="185"/>
      <c r="T191" s="167"/>
      <c r="U191" s="133"/>
      <c r="V191" s="133"/>
      <c r="W191" s="133"/>
      <c r="X191" s="133"/>
      <c r="Y191" s="133"/>
    </row>
    <row r="192" spans="1:25" hidden="1">
      <c r="A192" s="140" t="s">
        <v>1117</v>
      </c>
      <c r="B192" s="163">
        <v>46067.440972222219</v>
      </c>
      <c r="C192" s="163"/>
      <c r="D192" s="136" t="s">
        <v>259</v>
      </c>
      <c r="E192" s="140" t="s">
        <v>146</v>
      </c>
      <c r="F192" s="280" t="s">
        <v>147</v>
      </c>
      <c r="G192" s="280"/>
      <c r="H192" s="144" t="s">
        <v>259</v>
      </c>
      <c r="I192" s="140" t="s">
        <v>259</v>
      </c>
      <c r="J192" s="140" t="s">
        <v>26</v>
      </c>
      <c r="K192" s="135" t="str">
        <f>LEFT(Table_2[[#This Row],[Flt. ID]],2)&amp;RIGHT(Table_2[[#This Row],[Flt. ID]],3)</f>
        <v>UO605</v>
      </c>
      <c r="L192" s="131" t="str">
        <f>"H"&amp;ROW(Table_2[[#This Row],[A/C]])+1&amp;":H300"</f>
        <v>H193:H300</v>
      </c>
      <c r="M192" s="164">
        <f>IFERROR(
    IF(Table_2[[#This Row],[Arr/ Dep]]="A",
        IF(
            INDEX(B193:B437,MATCH(Table_2[[#This Row],[A/C]],H193:H437,0))
            - IF(Table_2[[#This Row],[ETA/ETD]]="",Table_2[[#This Row],[STA/STD]],Table_2[[#This Row],[ETA/ETD]]) &lt; 0,
            "ASAP",
            IF(Table_2[[#This Row],[ETA/ETD]]="",
                INDEX(B193:B437,MATCH(Table_2[[#This Row],[A/C]],H193:H437,0))-Table_2[[#This Row],[STA/STD]],
                INDEX(B193:B437,MATCH(Table_2[[#This Row],[A/C]],H193:H437,0))-Table_2[[#This Row],[ETA/ETD]])
        ),
        ""
    ),
"TBC")</f>
        <v>6.9444444452528842E-3</v>
      </c>
      <c r="N192" s="140" t="str" cm="1">
        <f t="array" ref="N19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2" s="135" t="str">
        <f>Table_2[[#This Row],[A/C]]&amp;Table_2[[#This Row],[Column2]]</f>
        <v>-UO605</v>
      </c>
      <c r="Q19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2" s="166" t="str">
        <f>IFERROR(Table_2[[#This Row],[UTC TIME]]-TIME(1,30,0),"")</f>
        <v/>
      </c>
      <c r="S192" s="185"/>
      <c r="T192" s="167"/>
      <c r="U192" s="133"/>
      <c r="V192" s="133"/>
      <c r="W192" s="133"/>
      <c r="X192" s="133"/>
      <c r="Y192" s="133"/>
    </row>
    <row r="193" spans="1:25" hidden="1">
      <c r="A193" s="140" t="s">
        <v>165</v>
      </c>
      <c r="B193" s="163">
        <v>46067.447916666664</v>
      </c>
      <c r="C193" s="163"/>
      <c r="D193" s="136" t="s">
        <v>259</v>
      </c>
      <c r="E193" s="140" t="s">
        <v>140</v>
      </c>
      <c r="F193" s="280" t="s">
        <v>141</v>
      </c>
      <c r="G193" s="280"/>
      <c r="H193" s="144" t="s">
        <v>259</v>
      </c>
      <c r="I193" s="140" t="s">
        <v>259</v>
      </c>
      <c r="J193" s="140" t="s">
        <v>42</v>
      </c>
      <c r="K193" s="135" t="str">
        <f>LEFT(Table_2[[#This Row],[Flt. ID]],2)&amp;RIGHT(Table_2[[#This Row],[Flt. ID]],3)</f>
        <v>UO502</v>
      </c>
      <c r="L193" s="131" t="str">
        <f>"H"&amp;ROW(Table_2[[#This Row],[A/C]])+1&amp;":H300"</f>
        <v>H194:H300</v>
      </c>
      <c r="M193" s="164" t="str">
        <f>IFERROR(
    IF(Table_2[[#This Row],[Arr/ Dep]]="A",
        IF(
            INDEX(B194:B438,MATCH(Table_2[[#This Row],[A/C]],H194:H438,0))
            - IF(Table_2[[#This Row],[ETA/ETD]]="",Table_2[[#This Row],[STA/STD]],Table_2[[#This Row],[ETA/ETD]]) &lt; 0,
            "ASAP",
            IF(Table_2[[#This Row],[ETA/ETD]]="",
                INDEX(B194:B438,MATCH(Table_2[[#This Row],[A/C]],H194:H438,0))-Table_2[[#This Row],[STA/STD]],
                INDEX(B194:B438,MATCH(Table_2[[#This Row],[A/C]],H194:H438,0))-Table_2[[#This Row],[ETA/ETD]])
        ),
        ""
    ),
"TBC")</f>
        <v/>
      </c>
      <c r="N193" s="140" t="str" cm="1">
        <f t="array" ref="N19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3" s="135" t="str">
        <f>Table_2[[#This Row],[A/C]]&amp;Table_2[[#This Row],[Column2]]</f>
        <v>-UO502</v>
      </c>
      <c r="Q19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3" s="166" t="str">
        <f>IFERROR(Table_2[[#This Row],[UTC TIME]]-TIME(1,30,0),"")</f>
        <v/>
      </c>
      <c r="S193" s="185"/>
      <c r="T193" s="167"/>
      <c r="U193" s="133"/>
      <c r="V193" s="133"/>
      <c r="W193" s="133"/>
      <c r="X193" s="133"/>
      <c r="Y193" s="133"/>
    </row>
    <row r="194" spans="1:25" hidden="1">
      <c r="A194" s="140" t="s">
        <v>166</v>
      </c>
      <c r="B194" s="163">
        <v>46067.451388888891</v>
      </c>
      <c r="C194" s="163"/>
      <c r="D194" s="136" t="s">
        <v>259</v>
      </c>
      <c r="E194" s="140" t="s">
        <v>28</v>
      </c>
      <c r="F194" s="280" t="s">
        <v>29</v>
      </c>
      <c r="G194" s="280"/>
      <c r="H194" s="144" t="s">
        <v>259</v>
      </c>
      <c r="I194" s="140" t="s">
        <v>259</v>
      </c>
      <c r="J194" s="140" t="s">
        <v>42</v>
      </c>
      <c r="K194" s="135" t="str">
        <f>LEFT(Table_2[[#This Row],[Flt. ID]],2)&amp;RIGHT(Table_2[[#This Row],[Flt. ID]],3)</f>
        <v>UO870</v>
      </c>
      <c r="L194" s="131" t="str">
        <f>"H"&amp;ROW(Table_2[[#This Row],[A/C]])+1&amp;":H300"</f>
        <v>H195:H300</v>
      </c>
      <c r="M194" s="164" t="str">
        <f>IFERROR(
    IF(Table_2[[#This Row],[Arr/ Dep]]="A",
        IF(
            INDEX(B195:B439,MATCH(Table_2[[#This Row],[A/C]],H195:H439,0))
            - IF(Table_2[[#This Row],[ETA/ETD]]="",Table_2[[#This Row],[STA/STD]],Table_2[[#This Row],[ETA/ETD]]) &lt; 0,
            "ASAP",
            IF(Table_2[[#This Row],[ETA/ETD]]="",
                INDEX(B195:B439,MATCH(Table_2[[#This Row],[A/C]],H195:H439,0))-Table_2[[#This Row],[STA/STD]],
                INDEX(B195:B439,MATCH(Table_2[[#This Row],[A/C]],H195:H439,0))-Table_2[[#This Row],[ETA/ETD]])
        ),
        ""
    ),
"TBC")</f>
        <v/>
      </c>
      <c r="N194" s="140" t="str" cm="1">
        <f t="array" ref="N19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4" s="135" t="str">
        <f>Table_2[[#This Row],[A/C]]&amp;Table_2[[#This Row],[Column2]]</f>
        <v>-UO870</v>
      </c>
      <c r="Q19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4" s="166" t="str">
        <f>IFERROR(Table_2[[#This Row],[UTC TIME]]-TIME(1,30,0),"")</f>
        <v/>
      </c>
      <c r="S194" s="185"/>
      <c r="T194" s="167"/>
      <c r="U194" s="133"/>
      <c r="V194" s="133"/>
      <c r="W194" s="133"/>
      <c r="X194" s="133"/>
      <c r="Y194" s="133"/>
    </row>
    <row r="195" spans="1:25" hidden="1">
      <c r="A195" s="140" t="s">
        <v>167</v>
      </c>
      <c r="B195" s="163">
        <v>46067.454861111109</v>
      </c>
      <c r="C195" s="163"/>
      <c r="D195" s="136" t="s">
        <v>259</v>
      </c>
      <c r="E195" s="140" t="s">
        <v>111</v>
      </c>
      <c r="F195" s="280" t="s">
        <v>112</v>
      </c>
      <c r="G195" s="280"/>
      <c r="H195" s="144" t="s">
        <v>259</v>
      </c>
      <c r="I195" s="140" t="s">
        <v>259</v>
      </c>
      <c r="J195" s="140" t="s">
        <v>42</v>
      </c>
      <c r="K195" s="135" t="str">
        <f>LEFT(Table_2[[#This Row],[Flt. ID]],2)&amp;RIGHT(Table_2[[#This Row],[Flt. ID]],3)</f>
        <v>UO172</v>
      </c>
      <c r="L195" s="131" t="str">
        <f>"H"&amp;ROW(Table_2[[#This Row],[A/C]])+1&amp;":H300"</f>
        <v>H196:H300</v>
      </c>
      <c r="M195" s="164" t="str">
        <f>IFERROR(
    IF(Table_2[[#This Row],[Arr/ Dep]]="A",
        IF(
            INDEX(B196:B440,MATCH(Table_2[[#This Row],[A/C]],H196:H440,0))
            - IF(Table_2[[#This Row],[ETA/ETD]]="",Table_2[[#This Row],[STA/STD]],Table_2[[#This Row],[ETA/ETD]]) &lt; 0,
            "ASAP",
            IF(Table_2[[#This Row],[ETA/ETD]]="",
                INDEX(B196:B440,MATCH(Table_2[[#This Row],[A/C]],H196:H440,0))-Table_2[[#This Row],[STA/STD]],
                INDEX(B196:B440,MATCH(Table_2[[#This Row],[A/C]],H196:H440,0))-Table_2[[#This Row],[ETA/ETD]])
        ),
        ""
    ),
"TBC")</f>
        <v/>
      </c>
      <c r="N195" s="140" t="str" cm="1">
        <f t="array" ref="N19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5" s="135" t="str">
        <f>Table_2[[#This Row],[A/C]]&amp;Table_2[[#This Row],[Column2]]</f>
        <v>-UO172</v>
      </c>
      <c r="Q19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5" s="166" t="str">
        <f>IFERROR(Table_2[[#This Row],[UTC TIME]]-TIME(1,30,0),"")</f>
        <v/>
      </c>
      <c r="S195" s="184"/>
      <c r="T195" s="167"/>
      <c r="U195" s="133"/>
      <c r="V195" s="133"/>
      <c r="W195" s="133"/>
      <c r="X195" s="133"/>
      <c r="Y195" s="133"/>
    </row>
    <row r="196" spans="1:25" hidden="1">
      <c r="A196" s="140" t="s">
        <v>171</v>
      </c>
      <c r="B196" s="163">
        <v>46067.454861111109</v>
      </c>
      <c r="C196" s="163"/>
      <c r="D196" s="136" t="s">
        <v>259</v>
      </c>
      <c r="E196" s="140" t="s">
        <v>66</v>
      </c>
      <c r="F196" s="280" t="s">
        <v>67</v>
      </c>
      <c r="G196" s="280"/>
      <c r="H196" s="144" t="s">
        <v>259</v>
      </c>
      <c r="I196" s="140" t="s">
        <v>259</v>
      </c>
      <c r="J196" s="140" t="s">
        <v>26</v>
      </c>
      <c r="K196" s="135" t="str">
        <f>LEFT(Table_2[[#This Row],[Flt. ID]],2)&amp;RIGHT(Table_2[[#This Row],[Flt. ID]],3)</f>
        <v>UO625</v>
      </c>
      <c r="L196" s="131" t="str">
        <f>"H"&amp;ROW(Table_2[[#This Row],[A/C]])+1&amp;":H300"</f>
        <v>H197:H300</v>
      </c>
      <c r="M196" s="164">
        <f>IFERROR(
    IF(Table_2[[#This Row],[Arr/ Dep]]="A",
        IF(
            INDEX(B197:B441,MATCH(Table_2[[#This Row],[A/C]],H197:H441,0))
            - IF(Table_2[[#This Row],[ETA/ETD]]="",Table_2[[#This Row],[STA/STD]],Table_2[[#This Row],[ETA/ETD]]) &lt; 0,
            "ASAP",
            IF(Table_2[[#This Row],[ETA/ETD]]="",
                INDEX(B197:B441,MATCH(Table_2[[#This Row],[A/C]],H197:H441,0))-Table_2[[#This Row],[STA/STD]],
                INDEX(B197:B441,MATCH(Table_2[[#This Row],[A/C]],H197:H441,0))-Table_2[[#This Row],[ETA/ETD]])
        ),
        ""
    ),
"TBC")</f>
        <v>3.4722222262644209E-3</v>
      </c>
      <c r="N196" s="140" t="str" cm="1">
        <f t="array" ref="N19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6" s="135" t="str">
        <f>Table_2[[#This Row],[A/C]]&amp;Table_2[[#This Row],[Column2]]</f>
        <v>-UO625</v>
      </c>
      <c r="Q19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6" s="166" t="str">
        <f>IFERROR(Table_2[[#This Row],[UTC TIME]]-TIME(1,30,0),"")</f>
        <v/>
      </c>
      <c r="S196" s="167"/>
      <c r="T196" s="193"/>
      <c r="U196" s="133"/>
      <c r="V196" s="133"/>
    </row>
    <row r="197" spans="1:25" hidden="1">
      <c r="A197" s="140" t="s">
        <v>174</v>
      </c>
      <c r="B197" s="163">
        <v>46067.458333333336</v>
      </c>
      <c r="C197" s="163"/>
      <c r="D197" s="136" t="s">
        <v>259</v>
      </c>
      <c r="E197" s="140" t="s">
        <v>122</v>
      </c>
      <c r="F197" s="280" t="s">
        <v>123</v>
      </c>
      <c r="G197" s="280"/>
      <c r="H197" s="144" t="s">
        <v>259</v>
      </c>
      <c r="I197" s="140" t="s">
        <v>259</v>
      </c>
      <c r="J197" s="140" t="s">
        <v>42</v>
      </c>
      <c r="K197" s="135" t="str">
        <f>LEFT(Table_2[[#This Row],[Flt. ID]],2)&amp;RIGHT(Table_2[[#This Row],[Flt. ID]],3)</f>
        <v>UO668</v>
      </c>
      <c r="L197" s="131" t="str">
        <f>"H"&amp;ROW(Table_2[[#This Row],[A/C]])+1&amp;":H300"</f>
        <v>H198:H300</v>
      </c>
      <c r="M197" s="164" t="str">
        <f>IFERROR(
    IF(Table_2[[#This Row],[Arr/ Dep]]="A",
        IF(
            INDEX(B198:B442,MATCH(Table_2[[#This Row],[A/C]],H198:H442,0))
            - IF(Table_2[[#This Row],[ETA/ETD]]="",Table_2[[#This Row],[STA/STD]],Table_2[[#This Row],[ETA/ETD]]) &lt; 0,
            "ASAP",
            IF(Table_2[[#This Row],[ETA/ETD]]="",
                INDEX(B198:B442,MATCH(Table_2[[#This Row],[A/C]],H198:H442,0))-Table_2[[#This Row],[STA/STD]],
                INDEX(B198:B442,MATCH(Table_2[[#This Row],[A/C]],H198:H442,0))-Table_2[[#This Row],[ETA/ETD]])
        ),
        ""
    ),
"TBC")</f>
        <v/>
      </c>
      <c r="N197" s="140" t="str" cm="1">
        <f t="array" ref="N19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7" s="135" t="str">
        <f>Table_2[[#This Row],[A/C]]&amp;Table_2[[#This Row],[Column2]]</f>
        <v>-UO668</v>
      </c>
      <c r="Q19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7" s="166" t="str">
        <f>IFERROR(Table_2[[#This Row],[UTC TIME]]-TIME(1,30,0),"")</f>
        <v/>
      </c>
      <c r="S197" s="167"/>
      <c r="T197" s="194"/>
      <c r="U197" s="133"/>
      <c r="V197" s="133"/>
    </row>
    <row r="198" spans="1:25" hidden="1">
      <c r="A198" s="140" t="s">
        <v>177</v>
      </c>
      <c r="B198" s="163">
        <v>46067.472222222219</v>
      </c>
      <c r="C198" s="163"/>
      <c r="D198" s="136" t="s">
        <v>259</v>
      </c>
      <c r="E198" s="140" t="s">
        <v>178</v>
      </c>
      <c r="F198" s="280" t="s">
        <v>179</v>
      </c>
      <c r="G198" s="280"/>
      <c r="H198" s="144" t="s">
        <v>259</v>
      </c>
      <c r="I198" s="140" t="s">
        <v>259</v>
      </c>
      <c r="J198" s="140" t="s">
        <v>26</v>
      </c>
      <c r="K198" s="135" t="str">
        <f>LEFT(Table_2[[#This Row],[Flt. ID]],2)&amp;RIGHT(Table_2[[#This Row],[Flt. ID]],3)</f>
        <v>UO227</v>
      </c>
      <c r="L198" s="131" t="str">
        <f>"H"&amp;ROW(Table_2[[#This Row],[A/C]])+1&amp;":H300"</f>
        <v>H199:H300</v>
      </c>
      <c r="M198" s="164">
        <f>IFERROR(
    IF(Table_2[[#This Row],[Arr/ Dep]]="A",
        IF(
            INDEX(B199:B443,MATCH(Table_2[[#This Row],[A/C]],H199:H443,0))
            - IF(Table_2[[#This Row],[ETA/ETD]]="",Table_2[[#This Row],[STA/STD]],Table_2[[#This Row],[ETA/ETD]]) &lt; 0,
            "ASAP",
            IF(Table_2[[#This Row],[ETA/ETD]]="",
                INDEX(B199:B443,MATCH(Table_2[[#This Row],[A/C]],H199:H443,0))-Table_2[[#This Row],[STA/STD]],
                INDEX(B199:B443,MATCH(Table_2[[#This Row],[A/C]],H199:H443,0))-Table_2[[#This Row],[ETA/ETD]])
        ),
        ""
    ),
"TBC")</f>
        <v>3.4722222262644209E-3</v>
      </c>
      <c r="N198" s="140" t="str" cm="1">
        <f t="array" ref="N19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8" s="135" t="str">
        <f>Table_2[[#This Row],[A/C]]&amp;Table_2[[#This Row],[Column2]]</f>
        <v>-UO227</v>
      </c>
      <c r="Q19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8" s="166" t="str">
        <f>IFERROR(Table_2[[#This Row],[UTC TIME]]-TIME(1,30,0),"")</f>
        <v/>
      </c>
      <c r="S198" s="167"/>
      <c r="T198" s="167"/>
      <c r="U198" s="133"/>
      <c r="V198" s="133"/>
    </row>
    <row r="199" spans="1:25" hidden="1">
      <c r="A199" s="140" t="s">
        <v>181</v>
      </c>
      <c r="B199" s="163">
        <v>46067.475694444445</v>
      </c>
      <c r="C199" s="163"/>
      <c r="D199" s="136" t="s">
        <v>259</v>
      </c>
      <c r="E199" s="140" t="s">
        <v>182</v>
      </c>
      <c r="F199" s="280" t="s">
        <v>183</v>
      </c>
      <c r="G199" s="280"/>
      <c r="H199" s="144" t="s">
        <v>259</v>
      </c>
      <c r="I199" s="140" t="s">
        <v>259</v>
      </c>
      <c r="J199" s="140" t="s">
        <v>42</v>
      </c>
      <c r="K199" s="135" t="str">
        <f>LEFT(Table_2[[#This Row],[Flt. ID]],2)&amp;RIGHT(Table_2[[#This Row],[Flt. ID]],3)</f>
        <v>UO110</v>
      </c>
      <c r="L199" s="131" t="str">
        <f>"H"&amp;ROW(Table_2[[#This Row],[A/C]])+1&amp;":H300"</f>
        <v>H200:H300</v>
      </c>
      <c r="M199" s="164" t="str">
        <f>IFERROR(
    IF(Table_2[[#This Row],[Arr/ Dep]]="A",
        IF(
            INDEX(B200:B444,MATCH(Table_2[[#This Row],[A/C]],H200:H444,0))
            - IF(Table_2[[#This Row],[ETA/ETD]]="",Table_2[[#This Row],[STA/STD]],Table_2[[#This Row],[ETA/ETD]]) &lt; 0,
            "ASAP",
            IF(Table_2[[#This Row],[ETA/ETD]]="",
                INDEX(B200:B444,MATCH(Table_2[[#This Row],[A/C]],H200:H444,0))-Table_2[[#This Row],[STA/STD]],
                INDEX(B200:B444,MATCH(Table_2[[#This Row],[A/C]],H200:H444,0))-Table_2[[#This Row],[ETA/ETD]])
        ),
        ""
    ),
"TBC")</f>
        <v/>
      </c>
      <c r="N199" s="140" t="str" cm="1">
        <f t="array" ref="N19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19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199" s="135" t="str">
        <f>Table_2[[#This Row],[A/C]]&amp;Table_2[[#This Row],[Column2]]</f>
        <v>-UO110</v>
      </c>
      <c r="Q19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199" s="166" t="str">
        <f>IFERROR(Table_2[[#This Row],[UTC TIME]]-TIME(1,30,0),"")</f>
        <v/>
      </c>
      <c r="S199" s="167"/>
      <c r="T199" s="167"/>
    </row>
    <row r="200" spans="1:25" hidden="1">
      <c r="A200" s="140" t="s">
        <v>188</v>
      </c>
      <c r="B200" s="163">
        <v>46067.493055555555</v>
      </c>
      <c r="C200" s="163"/>
      <c r="D200" s="136" t="s">
        <v>259</v>
      </c>
      <c r="E200" s="140" t="s">
        <v>133</v>
      </c>
      <c r="F200" s="280" t="s">
        <v>134</v>
      </c>
      <c r="G200" s="280"/>
      <c r="H200" s="144" t="s">
        <v>259</v>
      </c>
      <c r="I200" s="140" t="s">
        <v>259</v>
      </c>
      <c r="J200" s="140" t="s">
        <v>26</v>
      </c>
      <c r="K200" s="135" t="str">
        <f>LEFT(Table_2[[#This Row],[Flt. ID]],2)&amp;RIGHT(Table_2[[#This Row],[Flt. ID]],3)</f>
        <v>UO131</v>
      </c>
      <c r="L200" s="131" t="str">
        <f>"H"&amp;ROW(Table_2[[#This Row],[A/C]])+1&amp;":H300"</f>
        <v>H201:H300</v>
      </c>
      <c r="M200" s="164">
        <f>IFERROR(
    IF(Table_2[[#This Row],[Arr/ Dep]]="A",
        IF(
            INDEX(B201:B445,MATCH(Table_2[[#This Row],[A/C]],H201:H445,0))
            - IF(Table_2[[#This Row],[ETA/ETD]]="",Table_2[[#This Row],[STA/STD]],Table_2[[#This Row],[ETA/ETD]]) &lt; 0,
            "ASAP",
            IF(Table_2[[#This Row],[ETA/ETD]]="",
                INDEX(B201:B445,MATCH(Table_2[[#This Row],[A/C]],H201:H445,0))-Table_2[[#This Row],[STA/STD]],
                INDEX(B201:B445,MATCH(Table_2[[#This Row],[A/C]],H201:H445,0))-Table_2[[#This Row],[ETA/ETD]])
        ),
        ""
    ),
"TBC")</f>
        <v>0</v>
      </c>
      <c r="N200" s="140" t="str" cm="1">
        <f t="array" ref="N20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0" s="135" t="str">
        <f>Table_2[[#This Row],[A/C]]&amp;Table_2[[#This Row],[Column2]]</f>
        <v>-UO131</v>
      </c>
      <c r="Q20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0" s="166" t="str">
        <f>IFERROR(Table_2[[#This Row],[UTC TIME]]-TIME(1,30,0),"")</f>
        <v/>
      </c>
      <c r="S200" s="167"/>
      <c r="T200" s="194"/>
      <c r="U200" s="133"/>
      <c r="V200" s="183"/>
    </row>
    <row r="201" spans="1:25" hidden="1">
      <c r="A201" s="140" t="s">
        <v>189</v>
      </c>
      <c r="B201" s="163">
        <v>46067.493055555555</v>
      </c>
      <c r="C201" s="163"/>
      <c r="D201" s="136" t="s">
        <v>259</v>
      </c>
      <c r="E201" s="140" t="s">
        <v>22</v>
      </c>
      <c r="F201" s="280" t="s">
        <v>23</v>
      </c>
      <c r="G201" s="280"/>
      <c r="H201" s="144" t="s">
        <v>259</v>
      </c>
      <c r="I201" s="140" t="s">
        <v>259</v>
      </c>
      <c r="J201" s="140" t="s">
        <v>42</v>
      </c>
      <c r="K201" s="135" t="str">
        <f>LEFT(Table_2[[#This Row],[Flt. ID]],2)&amp;RIGHT(Table_2[[#This Row],[Flt. ID]],3)</f>
        <v>UO898</v>
      </c>
      <c r="L201" s="131" t="str">
        <f>"H"&amp;ROW(Table_2[[#This Row],[A/C]])+1&amp;":H300"</f>
        <v>H202:H300</v>
      </c>
      <c r="M201" s="164" t="str">
        <f>IFERROR(
    IF(Table_2[[#This Row],[Arr/ Dep]]="A",
        IF(
            INDEX(B202:B446,MATCH(Table_2[[#This Row],[A/C]],H202:H446,0))
            - IF(Table_2[[#This Row],[ETA/ETD]]="",Table_2[[#This Row],[STA/STD]],Table_2[[#This Row],[ETA/ETD]]) &lt; 0,
            "ASAP",
            IF(Table_2[[#This Row],[ETA/ETD]]="",
                INDEX(B202:B446,MATCH(Table_2[[#This Row],[A/C]],H202:H446,0))-Table_2[[#This Row],[STA/STD]],
                INDEX(B202:B446,MATCH(Table_2[[#This Row],[A/C]],H202:H446,0))-Table_2[[#This Row],[ETA/ETD]])
        ),
        ""
    ),
"TBC")</f>
        <v/>
      </c>
      <c r="N201" s="140" t="str" cm="1">
        <f t="array" ref="N20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1" s="135" t="str">
        <f>Table_2[[#This Row],[A/C]]&amp;Table_2[[#This Row],[Column2]]</f>
        <v>-UO898</v>
      </c>
      <c r="Q20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1" s="166" t="str">
        <f>IFERROR(Table_2[[#This Row],[UTC TIME]]-TIME(1,30,0),"")</f>
        <v/>
      </c>
      <c r="S201" s="167"/>
      <c r="T201" s="195"/>
      <c r="U201" s="133"/>
      <c r="V201" s="133"/>
    </row>
    <row r="202" spans="1:25" hidden="1">
      <c r="A202" s="140" t="s">
        <v>190</v>
      </c>
      <c r="B202" s="163">
        <v>46067.496527777781</v>
      </c>
      <c r="C202" s="163"/>
      <c r="D202" s="136" t="s">
        <v>259</v>
      </c>
      <c r="E202" s="140" t="s">
        <v>75</v>
      </c>
      <c r="F202" s="280" t="s">
        <v>76</v>
      </c>
      <c r="G202" s="280"/>
      <c r="H202" s="144" t="s">
        <v>259</v>
      </c>
      <c r="I202" s="140" t="s">
        <v>259</v>
      </c>
      <c r="J202" s="140" t="s">
        <v>42</v>
      </c>
      <c r="K202" s="135" t="str">
        <f>LEFT(Table_2[[#This Row],[Flt. ID]],2)&amp;RIGHT(Table_2[[#This Row],[Flt. ID]],3)</f>
        <v>UO746</v>
      </c>
      <c r="L202" s="131" t="str">
        <f>"H"&amp;ROW(Table_2[[#This Row],[A/C]])+1&amp;":H300"</f>
        <v>H203:H300</v>
      </c>
      <c r="M202" s="164" t="str">
        <f>IFERROR(
    IF(Table_2[[#This Row],[Arr/ Dep]]="A",
        IF(
            INDEX(B203:B447,MATCH(Table_2[[#This Row],[A/C]],H203:H447,0))
            - IF(Table_2[[#This Row],[ETA/ETD]]="",Table_2[[#This Row],[STA/STD]],Table_2[[#This Row],[ETA/ETD]]) &lt; 0,
            "ASAP",
            IF(Table_2[[#This Row],[ETA/ETD]]="",
                INDEX(B203:B447,MATCH(Table_2[[#This Row],[A/C]],H203:H447,0))-Table_2[[#This Row],[STA/STD]],
                INDEX(B203:B447,MATCH(Table_2[[#This Row],[A/C]],H203:H447,0))-Table_2[[#This Row],[ETA/ETD]])
        ),
        ""
    ),
"TBC")</f>
        <v/>
      </c>
      <c r="N202" s="140" t="str" cm="1">
        <f t="array" ref="N20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2" s="135" t="str">
        <f>Table_2[[#This Row],[A/C]]&amp;Table_2[[#This Row],[Column2]]</f>
        <v>-UO746</v>
      </c>
      <c r="Q20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2" s="166" t="str">
        <f>IFERROR(Table_2[[#This Row],[UTC TIME]]-TIME(1,30,0),"")</f>
        <v/>
      </c>
      <c r="S202" s="167"/>
      <c r="T202" s="167"/>
    </row>
    <row r="203" spans="1:25" hidden="1">
      <c r="A203" s="140" t="s">
        <v>1118</v>
      </c>
      <c r="B203" s="163">
        <v>46067.5</v>
      </c>
      <c r="C203" s="163"/>
      <c r="D203" s="136" t="s">
        <v>259</v>
      </c>
      <c r="E203" s="140" t="s">
        <v>111</v>
      </c>
      <c r="F203" s="280" t="s">
        <v>112</v>
      </c>
      <c r="G203" s="280"/>
      <c r="H203" s="144" t="s">
        <v>259</v>
      </c>
      <c r="I203" s="140" t="s">
        <v>259</v>
      </c>
      <c r="J203" s="140" t="s">
        <v>42</v>
      </c>
      <c r="K203" s="135" t="str">
        <f>LEFT(Table_2[[#This Row],[Flt. ID]],2)&amp;RIGHT(Table_2[[#This Row],[Flt. ID]],3)</f>
        <v>UO142</v>
      </c>
      <c r="L203" s="131" t="str">
        <f>"H"&amp;ROW(Table_2[[#This Row],[A/C]])+1&amp;":H300"</f>
        <v>H204:H300</v>
      </c>
      <c r="M203" s="164" t="str">
        <f>IFERROR(
    IF(Table_2[[#This Row],[Arr/ Dep]]="A",
        IF(
            INDEX(B204:B448,MATCH(Table_2[[#This Row],[A/C]],H204:H448,0))
            - IF(Table_2[[#This Row],[ETA/ETD]]="",Table_2[[#This Row],[STA/STD]],Table_2[[#This Row],[ETA/ETD]]) &lt; 0,
            "ASAP",
            IF(Table_2[[#This Row],[ETA/ETD]]="",
                INDEX(B204:B448,MATCH(Table_2[[#This Row],[A/C]],H204:H448,0))-Table_2[[#This Row],[STA/STD]],
                INDEX(B204:B448,MATCH(Table_2[[#This Row],[A/C]],H204:H448,0))-Table_2[[#This Row],[ETA/ETD]])
        ),
        ""
    ),
"TBC")</f>
        <v/>
      </c>
      <c r="N203" s="140" t="str" cm="1">
        <f t="array" ref="N20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3" s="135" t="str">
        <f>Table_2[[#This Row],[A/C]]&amp;Table_2[[#This Row],[Column2]]</f>
        <v>-UO142</v>
      </c>
      <c r="Q20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3" s="166" t="str">
        <f>IFERROR(Table_2[[#This Row],[UTC TIME]]-TIME(1,30,0),"")</f>
        <v/>
      </c>
      <c r="S203" s="167"/>
      <c r="T203" s="167"/>
      <c r="U203" s="133"/>
      <c r="V203" s="133"/>
    </row>
    <row r="204" spans="1:25" hidden="1">
      <c r="A204" s="140" t="s">
        <v>192</v>
      </c>
      <c r="B204" s="163">
        <v>46067.5</v>
      </c>
      <c r="C204" s="163"/>
      <c r="D204" s="136" t="s">
        <v>259</v>
      </c>
      <c r="E204" s="140" t="s">
        <v>111</v>
      </c>
      <c r="F204" s="280" t="s">
        <v>112</v>
      </c>
      <c r="G204" s="280"/>
      <c r="H204" s="144" t="s">
        <v>259</v>
      </c>
      <c r="I204" s="140" t="s">
        <v>259</v>
      </c>
      <c r="J204" s="140" t="s">
        <v>26</v>
      </c>
      <c r="K204" s="135" t="str">
        <f>LEFT(Table_2[[#This Row],[Flt. ID]],2)&amp;RIGHT(Table_2[[#This Row],[Flt. ID]],3)</f>
        <v>UO193</v>
      </c>
      <c r="L204" s="131" t="str">
        <f>"H"&amp;ROW(Table_2[[#This Row],[A/C]])+1&amp;":H300"</f>
        <v>H205:H300</v>
      </c>
      <c r="M204" s="164">
        <f>IFERROR(
    IF(Table_2[[#This Row],[Arr/ Dep]]="A",
        IF(
            INDEX(B205:B449,MATCH(Table_2[[#This Row],[A/C]],H205:H449,0))
            - IF(Table_2[[#This Row],[ETA/ETD]]="",Table_2[[#This Row],[STA/STD]],Table_2[[#This Row],[ETA/ETD]]) &lt; 0,
            "ASAP",
            IF(Table_2[[#This Row],[ETA/ETD]]="",
                INDEX(B205:B449,MATCH(Table_2[[#This Row],[A/C]],H205:H449,0))-Table_2[[#This Row],[STA/STD]],
                INDEX(B205:B449,MATCH(Table_2[[#This Row],[A/C]],H205:H449,0))-Table_2[[#This Row],[ETA/ETD]])
        ),
        ""
    ),
"TBC")</f>
        <v>1.0416666664241347E-2</v>
      </c>
      <c r="N204" s="140" t="str" cm="1">
        <f t="array" ref="N20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4" s="135" t="str">
        <f>Table_2[[#This Row],[A/C]]&amp;Table_2[[#This Row],[Column2]]</f>
        <v>-UO193</v>
      </c>
      <c r="Q20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4" s="166" t="str">
        <f>IFERROR(Table_2[[#This Row],[UTC TIME]]-TIME(1,30,0),"")</f>
        <v/>
      </c>
      <c r="S204" s="167"/>
      <c r="T204" s="194"/>
      <c r="U204" s="133"/>
      <c r="V204" s="133"/>
    </row>
    <row r="205" spans="1:25" hidden="1">
      <c r="A205" s="140" t="s">
        <v>193</v>
      </c>
      <c r="B205" s="163">
        <v>46067.510416666664</v>
      </c>
      <c r="C205" s="163"/>
      <c r="D205" s="136" t="s">
        <v>259</v>
      </c>
      <c r="E205" s="140" t="s">
        <v>182</v>
      </c>
      <c r="F205" s="280" t="s">
        <v>183</v>
      </c>
      <c r="G205" s="280"/>
      <c r="H205" s="144" t="s">
        <v>259</v>
      </c>
      <c r="I205" s="140" t="s">
        <v>259</v>
      </c>
      <c r="J205" s="140" t="s">
        <v>42</v>
      </c>
      <c r="K205" s="135" t="str">
        <f>LEFT(Table_2[[#This Row],[Flt. ID]],2)&amp;RIGHT(Table_2[[#This Row],[Flt. ID]],3)</f>
        <v>UO112</v>
      </c>
      <c r="L205" s="131" t="str">
        <f>"H"&amp;ROW(Table_2[[#This Row],[A/C]])+1&amp;":H300"</f>
        <v>H206:H300</v>
      </c>
      <c r="M205" s="164" t="str">
        <f>IFERROR(
    IF(Table_2[[#This Row],[Arr/ Dep]]="A",
        IF(
            INDEX(B206:B450,MATCH(Table_2[[#This Row],[A/C]],H206:H450,0))
            - IF(Table_2[[#This Row],[ETA/ETD]]="",Table_2[[#This Row],[STA/STD]],Table_2[[#This Row],[ETA/ETD]]) &lt; 0,
            "ASAP",
            IF(Table_2[[#This Row],[ETA/ETD]]="",
                INDEX(B206:B450,MATCH(Table_2[[#This Row],[A/C]],H206:H450,0))-Table_2[[#This Row],[STA/STD]],
                INDEX(B206:B450,MATCH(Table_2[[#This Row],[A/C]],H206:H450,0))-Table_2[[#This Row],[ETA/ETD]])
        ),
        ""
    ),
"TBC")</f>
        <v/>
      </c>
      <c r="N205" s="140" t="str" cm="1">
        <f t="array" ref="N20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5" s="135" t="str">
        <f>Table_2[[#This Row],[A/C]]&amp;Table_2[[#This Row],[Column2]]</f>
        <v>-UO112</v>
      </c>
      <c r="Q20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5" s="166" t="str">
        <f>IFERROR(Table_2[[#This Row],[UTC TIME]]-TIME(1,30,0),"")</f>
        <v/>
      </c>
      <c r="S205" s="167"/>
      <c r="T205" s="167"/>
      <c r="U205" s="133"/>
      <c r="V205" s="133"/>
    </row>
    <row r="206" spans="1:25" hidden="1">
      <c r="A206" s="140" t="s">
        <v>194</v>
      </c>
      <c r="B206" s="163">
        <v>46067.513888888891</v>
      </c>
      <c r="C206" s="163"/>
      <c r="D206" s="136" t="s">
        <v>259</v>
      </c>
      <c r="E206" s="140" t="s">
        <v>50</v>
      </c>
      <c r="F206" s="280" t="s">
        <v>51</v>
      </c>
      <c r="G206" s="280"/>
      <c r="H206" s="144" t="s">
        <v>259</v>
      </c>
      <c r="I206" s="140" t="s">
        <v>259</v>
      </c>
      <c r="J206" s="140" t="s">
        <v>26</v>
      </c>
      <c r="K206" s="135" t="str">
        <f>LEFT(Table_2[[#This Row],[Flt. ID]],2)&amp;RIGHT(Table_2[[#This Row],[Flt. ID]],3)</f>
        <v>UO523</v>
      </c>
      <c r="L206" s="131" t="str">
        <f>"H"&amp;ROW(Table_2[[#This Row],[A/C]])+1&amp;":H300"</f>
        <v>H207:H300</v>
      </c>
      <c r="M206" s="164">
        <f>IFERROR(
    IF(Table_2[[#This Row],[Arr/ Dep]]="A",
        IF(
            INDEX(B207:B451,MATCH(Table_2[[#This Row],[A/C]],H207:H451,0))
            - IF(Table_2[[#This Row],[ETA/ETD]]="",Table_2[[#This Row],[STA/STD]],Table_2[[#This Row],[ETA/ETD]]) &lt; 0,
            "ASAP",
            IF(Table_2[[#This Row],[ETA/ETD]]="",
                INDEX(B207:B451,MATCH(Table_2[[#This Row],[A/C]],H207:H451,0))-Table_2[[#This Row],[STA/STD]],
                INDEX(B207:B451,MATCH(Table_2[[#This Row],[A/C]],H207:H451,0))-Table_2[[#This Row],[ETA/ETD]])
        ),
        ""
    ),
"TBC")</f>
        <v>1.0416666664241347E-2</v>
      </c>
      <c r="N206" s="140" t="str" cm="1">
        <f t="array" ref="N20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6" s="135" t="str">
        <f>Table_2[[#This Row],[A/C]]&amp;Table_2[[#This Row],[Column2]]</f>
        <v>-UO523</v>
      </c>
      <c r="Q20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6" s="166" t="str">
        <f>IFERROR(Table_2[[#This Row],[UTC TIME]]-TIME(1,30,0),"")</f>
        <v/>
      </c>
      <c r="S206" s="167"/>
      <c r="T206" s="167"/>
      <c r="U206" s="133"/>
      <c r="V206" s="133"/>
    </row>
    <row r="207" spans="1:25" hidden="1">
      <c r="A207" s="140" t="s">
        <v>195</v>
      </c>
      <c r="B207" s="163">
        <v>46067.524305555555</v>
      </c>
      <c r="C207" s="163"/>
      <c r="D207" s="136" t="s">
        <v>259</v>
      </c>
      <c r="E207" s="140" t="s">
        <v>116</v>
      </c>
      <c r="F207" s="280" t="s">
        <v>117</v>
      </c>
      <c r="G207" s="280"/>
      <c r="H207" s="144" t="s">
        <v>259</v>
      </c>
      <c r="I207" s="140" t="s">
        <v>259</v>
      </c>
      <c r="J207" s="140" t="s">
        <v>26</v>
      </c>
      <c r="K207" s="135" t="str">
        <f>LEFT(Table_2[[#This Row],[Flt. ID]],2)&amp;RIGHT(Table_2[[#This Row],[Flt. ID]],3)</f>
        <v>UO541</v>
      </c>
      <c r="L207" s="131" t="str">
        <f>"H"&amp;ROW(Table_2[[#This Row],[A/C]])+1&amp;":H300"</f>
        <v>H208:H300</v>
      </c>
      <c r="M207" s="164">
        <f>IFERROR(
    IF(Table_2[[#This Row],[Arr/ Dep]]="A",
        IF(
            INDEX(B208:B452,MATCH(Table_2[[#This Row],[A/C]],H208:H452,0))
            - IF(Table_2[[#This Row],[ETA/ETD]]="",Table_2[[#This Row],[STA/STD]],Table_2[[#This Row],[ETA/ETD]]) &lt; 0,
            "ASAP",
            IF(Table_2[[#This Row],[ETA/ETD]]="",
                INDEX(B208:B452,MATCH(Table_2[[#This Row],[A/C]],H208:H452,0))-Table_2[[#This Row],[STA/STD]],
                INDEX(B208:B452,MATCH(Table_2[[#This Row],[A/C]],H208:H452,0))-Table_2[[#This Row],[ETA/ETD]])
        ),
        ""
    ),
"TBC")</f>
        <v>3.4722222262644209E-3</v>
      </c>
      <c r="N207" s="140" t="str" cm="1">
        <f t="array" ref="N20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7" s="135" t="str">
        <f>Table_2[[#This Row],[A/C]]&amp;Table_2[[#This Row],[Column2]]</f>
        <v>-UO541</v>
      </c>
      <c r="Q20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7" s="166" t="str">
        <f>IFERROR(Table_2[[#This Row],[UTC TIME]]-TIME(1,30,0),"")</f>
        <v/>
      </c>
      <c r="S207" s="167"/>
      <c r="T207" s="167"/>
    </row>
    <row r="208" spans="1:25" hidden="1">
      <c r="A208" s="140" t="s">
        <v>196</v>
      </c>
      <c r="B208" s="163">
        <v>46067.527777777781</v>
      </c>
      <c r="C208" s="163"/>
      <c r="D208" s="136" t="s">
        <v>259</v>
      </c>
      <c r="E208" s="140" t="s">
        <v>28</v>
      </c>
      <c r="F208" s="280" t="s">
        <v>29</v>
      </c>
      <c r="G208" s="280"/>
      <c r="H208" s="144" t="s">
        <v>259</v>
      </c>
      <c r="I208" s="140" t="s">
        <v>259</v>
      </c>
      <c r="J208" s="140" t="s">
        <v>26</v>
      </c>
      <c r="K208" s="135" t="str">
        <f>LEFT(Table_2[[#This Row],[Flt. ID]],2)&amp;RIGHT(Table_2[[#This Row],[Flt. ID]],3)</f>
        <v>UO857</v>
      </c>
      <c r="L208" s="131" t="str">
        <f>"H"&amp;ROW(Table_2[[#This Row],[A/C]])+1&amp;":H300"</f>
        <v>H209:H300</v>
      </c>
      <c r="M208" s="164">
        <f>IFERROR(
    IF(Table_2[[#This Row],[Arr/ Dep]]="A",
        IF(
            INDEX(B209:B453,MATCH(Table_2[[#This Row],[A/C]],H209:H453,0))
            - IF(Table_2[[#This Row],[ETA/ETD]]="",Table_2[[#This Row],[STA/STD]],Table_2[[#This Row],[ETA/ETD]]) &lt; 0,
            "ASAP",
            IF(Table_2[[#This Row],[ETA/ETD]]="",
                INDEX(B209:B453,MATCH(Table_2[[#This Row],[A/C]],H209:H453,0))-Table_2[[#This Row],[STA/STD]],
                INDEX(B209:B453,MATCH(Table_2[[#This Row],[A/C]],H209:H453,0))-Table_2[[#This Row],[ETA/ETD]])
        ),
        ""
    ),
"TBC")</f>
        <v>3.4722222189884633E-3</v>
      </c>
      <c r="N208" s="140" t="str" cm="1">
        <f t="array" ref="N20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8" s="135" t="str">
        <f>Table_2[[#This Row],[A/C]]&amp;Table_2[[#This Row],[Column2]]</f>
        <v>-UO857</v>
      </c>
      <c r="Q20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8" s="166" t="str">
        <f>IFERROR(Table_2[[#This Row],[UTC TIME]]-TIME(1,30,0),"")</f>
        <v/>
      </c>
      <c r="S208" s="167"/>
      <c r="T208" s="167"/>
      <c r="V208" s="178"/>
    </row>
    <row r="209" spans="1:22" hidden="1">
      <c r="A209" s="140" t="s">
        <v>198</v>
      </c>
      <c r="B209" s="163">
        <v>46067.53125</v>
      </c>
      <c r="C209" s="163"/>
      <c r="D209" s="136" t="s">
        <v>259</v>
      </c>
      <c r="E209" s="140" t="s">
        <v>133</v>
      </c>
      <c r="F209" s="280" t="s">
        <v>134</v>
      </c>
      <c r="G209" s="280"/>
      <c r="H209" s="144" t="s">
        <v>259</v>
      </c>
      <c r="I209" s="140" t="s">
        <v>259</v>
      </c>
      <c r="J209" s="140" t="s">
        <v>42</v>
      </c>
      <c r="K209" s="135" t="str">
        <f>LEFT(Table_2[[#This Row],[Flt. ID]],2)&amp;RIGHT(Table_2[[#This Row],[Flt. ID]],3)</f>
        <v>UO132</v>
      </c>
      <c r="L209" s="131" t="str">
        <f>"H"&amp;ROW(Table_2[[#This Row],[A/C]])+1&amp;":H300"</f>
        <v>H210:H300</v>
      </c>
      <c r="M209" s="164" t="str">
        <f>IFERROR(
    IF(Table_2[[#This Row],[Arr/ Dep]]="A",
        IF(
            INDEX(B210:B454,MATCH(Table_2[[#This Row],[A/C]],H210:H454,0))
            - IF(Table_2[[#This Row],[ETA/ETD]]="",Table_2[[#This Row],[STA/STD]],Table_2[[#This Row],[ETA/ETD]]) &lt; 0,
            "ASAP",
            IF(Table_2[[#This Row],[ETA/ETD]]="",
                INDEX(B210:B454,MATCH(Table_2[[#This Row],[A/C]],H210:H454,0))-Table_2[[#This Row],[STA/STD]],
                INDEX(B210:B454,MATCH(Table_2[[#This Row],[A/C]],H210:H454,0))-Table_2[[#This Row],[ETA/ETD]])
        ),
        ""
    ),
"TBC")</f>
        <v/>
      </c>
      <c r="N209" s="140" t="str" cm="1">
        <f t="array" ref="N20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0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09" s="135" t="str">
        <f>Table_2[[#This Row],[A/C]]&amp;Table_2[[#This Row],[Column2]]</f>
        <v>-UO132</v>
      </c>
      <c r="Q20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09" s="166" t="str">
        <f>IFERROR(Table_2[[#This Row],[UTC TIME]]-TIME(1,30,0),"")</f>
        <v/>
      </c>
      <c r="S209" s="167"/>
      <c r="T209" s="167"/>
    </row>
    <row r="210" spans="1:22" hidden="1">
      <c r="A210" s="140" t="s">
        <v>199</v>
      </c>
      <c r="B210" s="163">
        <v>46067.538194444445</v>
      </c>
      <c r="C210" s="163"/>
      <c r="D210" s="136" t="s">
        <v>259</v>
      </c>
      <c r="E210" s="140" t="s">
        <v>122</v>
      </c>
      <c r="F210" s="280" t="s">
        <v>123</v>
      </c>
      <c r="G210" s="280"/>
      <c r="H210" s="144" t="s">
        <v>130</v>
      </c>
      <c r="I210" s="140" t="s">
        <v>259</v>
      </c>
      <c r="J210" s="140" t="s">
        <v>42</v>
      </c>
      <c r="K210" s="135" t="str">
        <f>LEFT(Table_2[[#This Row],[Flt. ID]],2)&amp;RIGHT(Table_2[[#This Row],[Flt. ID]],3)</f>
        <v>UO638</v>
      </c>
      <c r="L210" s="131" t="str">
        <f>"H"&amp;ROW(Table_2[[#This Row],[A/C]])+1&amp;":H300"</f>
        <v>H211:H300</v>
      </c>
      <c r="M210" s="164" t="str">
        <f>IFERROR(
    IF(Table_2[[#This Row],[Arr/ Dep]]="A",
        IF(
            INDEX(B211:B455,MATCH(Table_2[[#This Row],[A/C]],H211:H455,0))
            - IF(Table_2[[#This Row],[ETA/ETD]]="",Table_2[[#This Row],[STA/STD]],Table_2[[#This Row],[ETA/ETD]]) &lt; 0,
            "ASAP",
            IF(Table_2[[#This Row],[ETA/ETD]]="",
                INDEX(B211:B455,MATCH(Table_2[[#This Row],[A/C]],H211:H455,0))-Table_2[[#This Row],[STA/STD]],
                INDEX(B211:B455,MATCH(Table_2[[#This Row],[A/C]],H211:H455,0))-Table_2[[#This Row],[ETA/ETD]])
        ),
        ""
    ),
"TBC")</f>
        <v/>
      </c>
      <c r="N210" s="140" t="str" cm="1">
        <f t="array" ref="N21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0" s="135" t="str">
        <f>Table_2[[#This Row],[A/C]]&amp;Table_2[[#This Row],[Column2]]</f>
        <v>BHTHUO638</v>
      </c>
      <c r="Q21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0" s="166" t="str">
        <f>IFERROR(Table_2[[#This Row],[UTC TIME]]-TIME(1,30,0),"")</f>
        <v/>
      </c>
      <c r="S210" s="167"/>
      <c r="T210" s="167"/>
      <c r="U210" s="133"/>
      <c r="V210" s="133"/>
    </row>
    <row r="211" spans="1:22" hidden="1">
      <c r="A211" s="140" t="s">
        <v>200</v>
      </c>
      <c r="B211" s="163">
        <v>46067.541666666664</v>
      </c>
      <c r="C211" s="163"/>
      <c r="D211" s="136" t="s">
        <v>259</v>
      </c>
      <c r="E211" s="140" t="s">
        <v>140</v>
      </c>
      <c r="F211" s="280" t="s">
        <v>141</v>
      </c>
      <c r="G211" s="280"/>
      <c r="H211" s="144" t="s">
        <v>259</v>
      </c>
      <c r="I211" s="140" t="s">
        <v>259</v>
      </c>
      <c r="J211" s="140" t="s">
        <v>26</v>
      </c>
      <c r="K211" s="135" t="str">
        <f>LEFT(Table_2[[#This Row],[Flt. ID]],2)&amp;RIGHT(Table_2[[#This Row],[Flt. ID]],3)</f>
        <v>UO553</v>
      </c>
      <c r="L211" s="131" t="str">
        <f>"H"&amp;ROW(Table_2[[#This Row],[A/C]])+1&amp;":H300"</f>
        <v>H212:H300</v>
      </c>
      <c r="M211" s="164">
        <f>IFERROR(
    IF(Table_2[[#This Row],[Arr/ Dep]]="A",
        IF(
            INDEX(B212:B456,MATCH(Table_2[[#This Row],[A/C]],H212:H456,0))
            - IF(Table_2[[#This Row],[ETA/ETD]]="",Table_2[[#This Row],[STA/STD]],Table_2[[#This Row],[ETA/ETD]]) &lt; 0,
            "ASAP",
            IF(Table_2[[#This Row],[ETA/ETD]]="",
                INDEX(B212:B456,MATCH(Table_2[[#This Row],[A/C]],H212:H456,0))-Table_2[[#This Row],[STA/STD]],
                INDEX(B212:B456,MATCH(Table_2[[#This Row],[A/C]],H212:H456,0))-Table_2[[#This Row],[ETA/ETD]])
        ),
        ""
    ),
"TBC")</f>
        <v>0</v>
      </c>
      <c r="N211" s="140" t="str" cm="1">
        <f t="array" ref="N21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1" s="135" t="str">
        <f>Table_2[[#This Row],[A/C]]&amp;Table_2[[#This Row],[Column2]]</f>
        <v>-UO553</v>
      </c>
      <c r="Q21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1" s="166" t="str">
        <f>IFERROR(Table_2[[#This Row],[UTC TIME]]-TIME(1,30,0),"")</f>
        <v/>
      </c>
      <c r="S211" s="167"/>
      <c r="T211" s="194"/>
      <c r="U211" s="133"/>
      <c r="V211" s="133"/>
    </row>
    <row r="212" spans="1:22" hidden="1">
      <c r="A212" s="140" t="s">
        <v>201</v>
      </c>
      <c r="B212" s="163">
        <v>46067.541666666664</v>
      </c>
      <c r="C212" s="163"/>
      <c r="D212" s="136" t="s">
        <v>259</v>
      </c>
      <c r="E212" s="140" t="s">
        <v>28</v>
      </c>
      <c r="F212" s="280" t="s">
        <v>29</v>
      </c>
      <c r="G212" s="280"/>
      <c r="H212" s="144" t="s">
        <v>259</v>
      </c>
      <c r="I212" s="140" t="s">
        <v>259</v>
      </c>
      <c r="J212" s="140" t="s">
        <v>42</v>
      </c>
      <c r="K212" s="135" t="str">
        <f>LEFT(Table_2[[#This Row],[Flt. ID]],2)&amp;RIGHT(Table_2[[#This Row],[Flt. ID]],3)</f>
        <v>UO646</v>
      </c>
      <c r="L212" s="131" t="str">
        <f>"H"&amp;ROW(Table_2[[#This Row],[A/C]])+1&amp;":H300"</f>
        <v>H213:H300</v>
      </c>
      <c r="M212" s="164" t="str">
        <f>IFERROR(
    IF(Table_2[[#This Row],[Arr/ Dep]]="A",
        IF(
            INDEX(B213:B457,MATCH(Table_2[[#This Row],[A/C]],H213:H457,0))
            - IF(Table_2[[#This Row],[ETA/ETD]]="",Table_2[[#This Row],[STA/STD]],Table_2[[#This Row],[ETA/ETD]]) &lt; 0,
            "ASAP",
            IF(Table_2[[#This Row],[ETA/ETD]]="",
                INDEX(B213:B457,MATCH(Table_2[[#This Row],[A/C]],H213:H457,0))-Table_2[[#This Row],[STA/STD]],
                INDEX(B213:B457,MATCH(Table_2[[#This Row],[A/C]],H213:H457,0))-Table_2[[#This Row],[ETA/ETD]])
        ),
        ""
    ),
"TBC")</f>
        <v/>
      </c>
      <c r="N212" s="140" t="str" cm="1">
        <f t="array" ref="N21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2" s="135" t="str">
        <f>Table_2[[#This Row],[A/C]]&amp;Table_2[[#This Row],[Column2]]</f>
        <v>-UO646</v>
      </c>
      <c r="Q21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2" s="166" t="str">
        <f>IFERROR(Table_2[[#This Row],[UTC TIME]]-TIME(1,30,0),"")</f>
        <v/>
      </c>
      <c r="S212" s="167"/>
      <c r="T212" s="195"/>
      <c r="U212" s="133"/>
      <c r="V212" s="133"/>
    </row>
    <row r="213" spans="1:22" hidden="1">
      <c r="A213" s="140" t="s">
        <v>284</v>
      </c>
      <c r="B213" s="163">
        <v>46067.545138888891</v>
      </c>
      <c r="C213" s="163"/>
      <c r="D213" s="136" t="s">
        <v>259</v>
      </c>
      <c r="E213" s="140" t="s">
        <v>247</v>
      </c>
      <c r="F213" s="280" t="s">
        <v>248</v>
      </c>
      <c r="G213" s="280"/>
      <c r="H213" s="144" t="s">
        <v>259</v>
      </c>
      <c r="I213" s="140" t="s">
        <v>259</v>
      </c>
      <c r="J213" s="140" t="s">
        <v>26</v>
      </c>
      <c r="K213" s="135" t="str">
        <f>LEFT(Table_2[[#This Row],[Flt. ID]],2)&amp;RIGHT(Table_2[[#This Row],[Flt. ID]],3)</f>
        <v>UO251</v>
      </c>
      <c r="L213" s="131" t="str">
        <f>"H"&amp;ROW(Table_2[[#This Row],[A/C]])+1&amp;":H300"</f>
        <v>H214:H300</v>
      </c>
      <c r="M213" s="164">
        <f>IFERROR(
    IF(Table_2[[#This Row],[Arr/ Dep]]="A",
        IF(
            INDEX(B214:B458,MATCH(Table_2[[#This Row],[A/C]],H214:H458,0))
            - IF(Table_2[[#This Row],[ETA/ETD]]="",Table_2[[#This Row],[STA/STD]],Table_2[[#This Row],[ETA/ETD]]) &lt; 0,
            "ASAP",
            IF(Table_2[[#This Row],[ETA/ETD]]="",
                INDEX(B214:B458,MATCH(Table_2[[#This Row],[A/C]],H214:H458,0))-Table_2[[#This Row],[STA/STD]],
                INDEX(B214:B458,MATCH(Table_2[[#This Row],[A/C]],H214:H458,0))-Table_2[[#This Row],[ETA/ETD]])
        ),
        ""
    ),
"TBC")</f>
        <v>1.3888888890505768E-2</v>
      </c>
      <c r="N213" s="140" t="str" cm="1">
        <f t="array" ref="N21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3" s="135" t="str">
        <f>Table_2[[#This Row],[A/C]]&amp;Table_2[[#This Row],[Column2]]</f>
        <v>-UO251</v>
      </c>
      <c r="Q21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3" s="166" t="str">
        <f>IFERROR(Table_2[[#This Row],[UTC TIME]]-TIME(1,30,0),"")</f>
        <v/>
      </c>
      <c r="S213" s="167"/>
      <c r="T213" s="195"/>
      <c r="U213" s="133"/>
      <c r="V213" s="133"/>
    </row>
    <row r="214" spans="1:22" hidden="1">
      <c r="A214" s="140" t="s">
        <v>202</v>
      </c>
      <c r="B214" s="163">
        <v>46067.559027777781</v>
      </c>
      <c r="C214" s="163"/>
      <c r="D214" s="136" t="s">
        <v>259</v>
      </c>
      <c r="E214" s="140" t="s">
        <v>203</v>
      </c>
      <c r="F214" s="280" t="s">
        <v>204</v>
      </c>
      <c r="G214" s="280"/>
      <c r="H214" s="144" t="s">
        <v>259</v>
      </c>
      <c r="I214" s="140" t="s">
        <v>259</v>
      </c>
      <c r="J214" s="140" t="s">
        <v>42</v>
      </c>
      <c r="K214" s="135" t="str">
        <f>LEFT(Table_2[[#This Row],[Flt. ID]],2)&amp;RIGHT(Table_2[[#This Row],[Flt. ID]],3)</f>
        <v>UO212</v>
      </c>
      <c r="L214" s="131" t="str">
        <f>"H"&amp;ROW(Table_2[[#This Row],[A/C]])+1&amp;":H300"</f>
        <v>H215:H300</v>
      </c>
      <c r="M214" s="164" t="str">
        <f>IFERROR(
    IF(Table_2[[#This Row],[Arr/ Dep]]="A",
        IF(
            INDEX(B215:B459,MATCH(Table_2[[#This Row],[A/C]],H215:H459,0))
            - IF(Table_2[[#This Row],[ETA/ETD]]="",Table_2[[#This Row],[STA/STD]],Table_2[[#This Row],[ETA/ETD]]) &lt; 0,
            "ASAP",
            IF(Table_2[[#This Row],[ETA/ETD]]="",
                INDEX(B215:B459,MATCH(Table_2[[#This Row],[A/C]],H215:H459,0))-Table_2[[#This Row],[STA/STD]],
                INDEX(B215:B459,MATCH(Table_2[[#This Row],[A/C]],H215:H459,0))-Table_2[[#This Row],[ETA/ETD]])
        ),
        ""
    ),
"TBC")</f>
        <v/>
      </c>
      <c r="N214" s="140" t="str" cm="1">
        <f t="array" ref="N21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4" s="135" t="str">
        <f>Table_2[[#This Row],[A/C]]&amp;Table_2[[#This Row],[Column2]]</f>
        <v>-UO212</v>
      </c>
      <c r="Q21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4" s="166" t="str">
        <f>IFERROR(Table_2[[#This Row],[UTC TIME]]-TIME(1,30,0),"")</f>
        <v/>
      </c>
      <c r="S214" s="167"/>
      <c r="T214" s="167"/>
      <c r="U214" s="133"/>
      <c r="V214" s="133"/>
    </row>
    <row r="215" spans="1:22" hidden="1">
      <c r="A215" s="140" t="s">
        <v>205</v>
      </c>
      <c r="B215" s="163">
        <v>46067.5625</v>
      </c>
      <c r="C215" s="163"/>
      <c r="D215" s="136" t="s">
        <v>259</v>
      </c>
      <c r="E215" s="140" t="s">
        <v>125</v>
      </c>
      <c r="F215" s="280" t="s">
        <v>126</v>
      </c>
      <c r="G215" s="280"/>
      <c r="H215" s="144" t="s">
        <v>259</v>
      </c>
      <c r="I215" s="140" t="s">
        <v>259</v>
      </c>
      <c r="J215" s="140" t="s">
        <v>42</v>
      </c>
      <c r="K215" s="135" t="str">
        <f>LEFT(Table_2[[#This Row],[Flt. ID]],2)&amp;RIGHT(Table_2[[#This Row],[Flt. ID]],3)</f>
        <v>UO700</v>
      </c>
      <c r="L215" s="131" t="str">
        <f>"H"&amp;ROW(Table_2[[#This Row],[A/C]])+1&amp;":H300"</f>
        <v>H216:H300</v>
      </c>
      <c r="M215" s="164" t="str">
        <f>IFERROR(
    IF(Table_2[[#This Row],[Arr/ Dep]]="A",
        IF(
            INDEX(B216:B460,MATCH(Table_2[[#This Row],[A/C]],H216:H460,0))
            - IF(Table_2[[#This Row],[ETA/ETD]]="",Table_2[[#This Row],[STA/STD]],Table_2[[#This Row],[ETA/ETD]]) &lt; 0,
            "ASAP",
            IF(Table_2[[#This Row],[ETA/ETD]]="",
                INDEX(B216:B460,MATCH(Table_2[[#This Row],[A/C]],H216:H460,0))-Table_2[[#This Row],[STA/STD]],
                INDEX(B216:B460,MATCH(Table_2[[#This Row],[A/C]],H216:H460,0))-Table_2[[#This Row],[ETA/ETD]])
        ),
        ""
    ),
"TBC")</f>
        <v/>
      </c>
      <c r="N215" s="140" t="str" cm="1">
        <f t="array" ref="N21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5" s="135" t="str">
        <f>Table_2[[#This Row],[A/C]]&amp;Table_2[[#This Row],[Column2]]</f>
        <v>-UO700</v>
      </c>
      <c r="Q21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5" s="166" t="str">
        <f>IFERROR(Table_2[[#This Row],[UTC TIME]]-TIME(1,30,0),"")</f>
        <v/>
      </c>
      <c r="S215" s="167"/>
      <c r="T215" s="167"/>
      <c r="U215" s="133"/>
      <c r="V215" s="133"/>
    </row>
    <row r="216" spans="1:22" hidden="1">
      <c r="A216" s="140" t="s">
        <v>206</v>
      </c>
      <c r="B216" s="163">
        <v>46067.579861111109</v>
      </c>
      <c r="C216" s="163"/>
      <c r="D216" s="136" t="s">
        <v>259</v>
      </c>
      <c r="E216" s="140" t="s">
        <v>106</v>
      </c>
      <c r="F216" s="280" t="s">
        <v>107</v>
      </c>
      <c r="G216" s="280"/>
      <c r="H216" s="144" t="s">
        <v>259</v>
      </c>
      <c r="I216" s="140" t="s">
        <v>259</v>
      </c>
      <c r="J216" s="140" t="s">
        <v>26</v>
      </c>
      <c r="K216" s="135" t="str">
        <f>LEFT(Table_2[[#This Row],[Flt. ID]],2)&amp;RIGHT(Table_2[[#This Row],[Flt. ID]],3)</f>
        <v>UO821</v>
      </c>
      <c r="L216" s="131" t="str">
        <f>"H"&amp;ROW(Table_2[[#This Row],[A/C]])+1&amp;":H300"</f>
        <v>H217:H300</v>
      </c>
      <c r="M216" s="164">
        <f>IFERROR(
    IF(Table_2[[#This Row],[Arr/ Dep]]="A",
        IF(
            INDEX(B217:B461,MATCH(Table_2[[#This Row],[A/C]],H217:H461,0))
            - IF(Table_2[[#This Row],[ETA/ETD]]="",Table_2[[#This Row],[STA/STD]],Table_2[[#This Row],[ETA/ETD]]) &lt; 0,
            "ASAP",
            IF(Table_2[[#This Row],[ETA/ETD]]="",
                INDEX(B217:B461,MATCH(Table_2[[#This Row],[A/C]],H217:H461,0))-Table_2[[#This Row],[STA/STD]],
                INDEX(B217:B461,MATCH(Table_2[[#This Row],[A/C]],H217:H461,0))-Table_2[[#This Row],[ETA/ETD]])
        ),
        ""
    ),
"TBC")</f>
        <v>3.4722222262644209E-3</v>
      </c>
      <c r="N216" s="140" t="str" cm="1">
        <f t="array" ref="N21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6" s="135" t="str">
        <f>Table_2[[#This Row],[A/C]]&amp;Table_2[[#This Row],[Column2]]</f>
        <v>-UO821</v>
      </c>
      <c r="Q21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6" s="166" t="str">
        <f>IFERROR(Table_2[[#This Row],[UTC TIME]]-TIME(1,30,0),"")</f>
        <v/>
      </c>
      <c r="S216" s="167"/>
      <c r="T216" s="167"/>
    </row>
    <row r="217" spans="1:22" hidden="1">
      <c r="A217" s="140" t="s">
        <v>207</v>
      </c>
      <c r="B217" s="163">
        <v>46067.583333333336</v>
      </c>
      <c r="C217" s="163"/>
      <c r="D217" s="136" t="s">
        <v>259</v>
      </c>
      <c r="E217" s="140" t="s">
        <v>28</v>
      </c>
      <c r="F217" s="280" t="s">
        <v>29</v>
      </c>
      <c r="G217" s="280"/>
      <c r="H217" s="144" t="s">
        <v>259</v>
      </c>
      <c r="I217" s="140" t="s">
        <v>259</v>
      </c>
      <c r="J217" s="140" t="s">
        <v>42</v>
      </c>
      <c r="K217" s="135" t="str">
        <f>LEFT(Table_2[[#This Row],[Flt. ID]],2)&amp;RIGHT(Table_2[[#This Row],[Flt. ID]],3)</f>
        <v>UO650</v>
      </c>
      <c r="L217" s="131" t="str">
        <f>"H"&amp;ROW(Table_2[[#This Row],[A/C]])+1&amp;":H300"</f>
        <v>H218:H300</v>
      </c>
      <c r="M217" s="164" t="str">
        <f>IFERROR(
    IF(Table_2[[#This Row],[Arr/ Dep]]="A",
        IF(
            INDEX(B218:B462,MATCH(Table_2[[#This Row],[A/C]],H218:H462,0))
            - IF(Table_2[[#This Row],[ETA/ETD]]="",Table_2[[#This Row],[STA/STD]],Table_2[[#This Row],[ETA/ETD]]) &lt; 0,
            "ASAP",
            IF(Table_2[[#This Row],[ETA/ETD]]="",
                INDEX(B218:B462,MATCH(Table_2[[#This Row],[A/C]],H218:H462,0))-Table_2[[#This Row],[STA/STD]],
                INDEX(B218:B462,MATCH(Table_2[[#This Row],[A/C]],H218:H462,0))-Table_2[[#This Row],[ETA/ETD]])
        ),
        ""
    ),
"TBC")</f>
        <v/>
      </c>
      <c r="N217" s="140" t="str" cm="1">
        <f t="array" ref="N21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7" s="135" t="str">
        <f>Table_2[[#This Row],[A/C]]&amp;Table_2[[#This Row],[Column2]]</f>
        <v>-UO650</v>
      </c>
      <c r="Q21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7" s="166" t="str">
        <f>IFERROR(Table_2[[#This Row],[UTC TIME]]-TIME(1,30,0),"")</f>
        <v/>
      </c>
      <c r="S217" s="138"/>
      <c r="T217" s="138"/>
    </row>
    <row r="218" spans="1:22" hidden="1">
      <c r="A218" s="140" t="s">
        <v>208</v>
      </c>
      <c r="B218" s="163">
        <v>46067.597222222219</v>
      </c>
      <c r="C218" s="163"/>
      <c r="D218" s="136" t="s">
        <v>259</v>
      </c>
      <c r="E218" s="140" t="s">
        <v>119</v>
      </c>
      <c r="F218" s="280" t="s">
        <v>120</v>
      </c>
      <c r="G218" s="280"/>
      <c r="H218" s="144" t="s">
        <v>259</v>
      </c>
      <c r="I218" s="140" t="s">
        <v>259</v>
      </c>
      <c r="J218" s="140" t="s">
        <v>26</v>
      </c>
      <c r="K218" s="135" t="str">
        <f>LEFT(Table_2[[#This Row],[Flt. ID]],2)&amp;RIGHT(Table_2[[#This Row],[Flt. ID]],3)</f>
        <v>UO757</v>
      </c>
      <c r="L218" s="131" t="str">
        <f>"H"&amp;ROW(Table_2[[#This Row],[A/C]])+1&amp;":H300"</f>
        <v>H219:H300</v>
      </c>
      <c r="M218" s="164">
        <f>IFERROR(
    IF(Table_2[[#This Row],[Arr/ Dep]]="A",
        IF(
            INDEX(B219:B463,MATCH(Table_2[[#This Row],[A/C]],H219:H463,0))
            - IF(Table_2[[#This Row],[ETA/ETD]]="",Table_2[[#This Row],[STA/STD]],Table_2[[#This Row],[ETA/ETD]]) &lt; 0,
            "ASAP",
            IF(Table_2[[#This Row],[ETA/ETD]]="",
                INDEX(B219:B463,MATCH(Table_2[[#This Row],[A/C]],H219:H463,0))-Table_2[[#This Row],[STA/STD]],
                INDEX(B219:B463,MATCH(Table_2[[#This Row],[A/C]],H219:H463,0))-Table_2[[#This Row],[ETA/ETD]])
        ),
        ""
    ),
"TBC")</f>
        <v>3.4722222262644209E-3</v>
      </c>
      <c r="N218" s="140" t="str" cm="1">
        <f t="array" ref="N21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8" s="135" t="str">
        <f>Table_2[[#This Row],[A/C]]&amp;Table_2[[#This Row],[Column2]]</f>
        <v>-UO757</v>
      </c>
      <c r="Q21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8" s="166" t="str">
        <f>IFERROR(Table_2[[#This Row],[UTC TIME]]-TIME(1,30,0),"")</f>
        <v/>
      </c>
      <c r="S218" s="167"/>
      <c r="T218" s="167"/>
    </row>
    <row r="219" spans="1:22" hidden="1">
      <c r="A219" s="140" t="s">
        <v>321</v>
      </c>
      <c r="B219" s="163">
        <v>46067.600694444445</v>
      </c>
      <c r="C219" s="163"/>
      <c r="D219" s="136" t="s">
        <v>259</v>
      </c>
      <c r="E219" s="140" t="s">
        <v>125</v>
      </c>
      <c r="F219" s="280" t="s">
        <v>126</v>
      </c>
      <c r="G219" s="280"/>
      <c r="H219" s="144" t="s">
        <v>259</v>
      </c>
      <c r="I219" s="140" t="s">
        <v>259</v>
      </c>
      <c r="J219" s="140" t="s">
        <v>42</v>
      </c>
      <c r="K219" s="135" t="str">
        <f>LEFT(Table_2[[#This Row],[Flt. ID]],2)&amp;RIGHT(Table_2[[#This Row],[Flt. ID]],3)</f>
        <v>UO728</v>
      </c>
      <c r="L219" s="131" t="str">
        <f>"H"&amp;ROW(Table_2[[#This Row],[A/C]])+1&amp;":H300"</f>
        <v>H220:H300</v>
      </c>
      <c r="M219" s="164" t="str">
        <f>IFERROR(
    IF(Table_2[[#This Row],[Arr/ Dep]]="A",
        IF(
            INDEX(B220:B464,MATCH(Table_2[[#This Row],[A/C]],H220:H464,0))
            - IF(Table_2[[#This Row],[ETA/ETD]]="",Table_2[[#This Row],[STA/STD]],Table_2[[#This Row],[ETA/ETD]]) &lt; 0,
            "ASAP",
            IF(Table_2[[#This Row],[ETA/ETD]]="",
                INDEX(B220:B464,MATCH(Table_2[[#This Row],[A/C]],H220:H464,0))-Table_2[[#This Row],[STA/STD]],
                INDEX(B220:B464,MATCH(Table_2[[#This Row],[A/C]],H220:H464,0))-Table_2[[#This Row],[ETA/ETD]])
        ),
        ""
    ),
"TBC")</f>
        <v/>
      </c>
      <c r="N219" s="140" t="str" cm="1">
        <f t="array" ref="N21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1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19" s="135" t="str">
        <f>Table_2[[#This Row],[A/C]]&amp;Table_2[[#This Row],[Column2]]</f>
        <v>-UO728</v>
      </c>
      <c r="Q21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19" s="166" t="str">
        <f>IFERROR(Table_2[[#This Row],[UTC TIME]]-TIME(1,30,0),"")</f>
        <v/>
      </c>
      <c r="S219" s="167"/>
      <c r="T219" s="193"/>
      <c r="U219" s="133"/>
      <c r="V219" s="133"/>
    </row>
    <row r="220" spans="1:22" hidden="1">
      <c r="A220" s="140" t="s">
        <v>210</v>
      </c>
      <c r="B220" s="163">
        <v>46067.611111111109</v>
      </c>
      <c r="C220" s="163"/>
      <c r="D220" s="136" t="s">
        <v>259</v>
      </c>
      <c r="E220" s="140" t="s">
        <v>125</v>
      </c>
      <c r="F220" s="280" t="s">
        <v>126</v>
      </c>
      <c r="G220" s="280"/>
      <c r="H220" s="144" t="s">
        <v>259</v>
      </c>
      <c r="I220" s="140" t="s">
        <v>259</v>
      </c>
      <c r="J220" s="140" t="s">
        <v>26</v>
      </c>
      <c r="K220" s="135" t="str">
        <f>LEFT(Table_2[[#This Row],[Flt. ID]],2)&amp;RIGHT(Table_2[[#This Row],[Flt. ID]],3)</f>
        <v>UO705</v>
      </c>
      <c r="L220" s="131" t="str">
        <f>"H"&amp;ROW(Table_2[[#This Row],[A/C]])+1&amp;":H300"</f>
        <v>H221:H300</v>
      </c>
      <c r="M220" s="164">
        <f>IFERROR(
    IF(Table_2[[#This Row],[Arr/ Dep]]="A",
        IF(
            INDEX(B221:B465,MATCH(Table_2[[#This Row],[A/C]],H221:H465,0))
            - IF(Table_2[[#This Row],[ETA/ETD]]="",Table_2[[#This Row],[STA/STD]],Table_2[[#This Row],[ETA/ETD]]) &lt; 0,
            "ASAP",
            IF(Table_2[[#This Row],[ETA/ETD]]="",
                INDEX(B221:B465,MATCH(Table_2[[#This Row],[A/C]],H221:H465,0))-Table_2[[#This Row],[STA/STD]],
                INDEX(B221:B465,MATCH(Table_2[[#This Row],[A/C]],H221:H465,0))-Table_2[[#This Row],[ETA/ETD]])
        ),
        ""
    ),
"TBC")</f>
        <v>1.0416666671517305E-2</v>
      </c>
      <c r="N220" s="140" t="str" cm="1">
        <f t="array" ref="N22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0" s="135" t="str">
        <f>Table_2[[#This Row],[A/C]]&amp;Table_2[[#This Row],[Column2]]</f>
        <v>-UO705</v>
      </c>
      <c r="Q22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0" s="166" t="str">
        <f>IFERROR(Table_2[[#This Row],[UTC TIME]]-TIME(1,30,0),"")</f>
        <v/>
      </c>
      <c r="S220" s="138"/>
      <c r="T220" s="138"/>
    </row>
    <row r="221" spans="1:22" hidden="1">
      <c r="A221" s="140" t="s">
        <v>211</v>
      </c>
      <c r="B221" s="163">
        <v>46067.621527777781</v>
      </c>
      <c r="C221" s="163"/>
      <c r="D221" s="136" t="s">
        <v>259</v>
      </c>
      <c r="E221" s="140" t="s">
        <v>28</v>
      </c>
      <c r="F221" s="280" t="s">
        <v>29</v>
      </c>
      <c r="G221" s="280"/>
      <c r="H221" s="144" t="s">
        <v>259</v>
      </c>
      <c r="I221" s="140" t="s">
        <v>259</v>
      </c>
      <c r="J221" s="140" t="s">
        <v>42</v>
      </c>
      <c r="K221" s="135" t="str">
        <f>LEFT(Table_2[[#This Row],[Flt. ID]],2)&amp;RIGHT(Table_2[[#This Row],[Flt. ID]],3)</f>
        <v>UO652</v>
      </c>
      <c r="L221" s="131" t="str">
        <f>"H"&amp;ROW(Table_2[[#This Row],[A/C]])+1&amp;":H300"</f>
        <v>H222:H300</v>
      </c>
      <c r="M221" s="164" t="str">
        <f>IFERROR(
    IF(Table_2[[#This Row],[Arr/ Dep]]="A",
        IF(
            INDEX(B222:B466,MATCH(Table_2[[#This Row],[A/C]],H222:H466,0))
            - IF(Table_2[[#This Row],[ETA/ETD]]="",Table_2[[#This Row],[STA/STD]],Table_2[[#This Row],[ETA/ETD]]) &lt; 0,
            "ASAP",
            IF(Table_2[[#This Row],[ETA/ETD]]="",
                INDEX(B222:B466,MATCH(Table_2[[#This Row],[A/C]],H222:H466,0))-Table_2[[#This Row],[STA/STD]],
                INDEX(B222:B466,MATCH(Table_2[[#This Row],[A/C]],H222:H466,0))-Table_2[[#This Row],[ETA/ETD]])
        ),
        ""
    ),
"TBC")</f>
        <v/>
      </c>
      <c r="N221" s="140" t="str" cm="1">
        <f t="array" ref="N22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1" s="135" t="str">
        <f>Table_2[[#This Row],[A/C]]&amp;Table_2[[#This Row],[Column2]]</f>
        <v>-UO652</v>
      </c>
      <c r="Q22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1" s="166" t="str">
        <f>IFERROR(Table_2[[#This Row],[UTC TIME]]-TIME(1,30,0),"")</f>
        <v/>
      </c>
      <c r="S221" s="167"/>
      <c r="T221" s="195"/>
      <c r="U221" s="133"/>
      <c r="V221" s="133"/>
    </row>
    <row r="222" spans="1:22" hidden="1">
      <c r="A222" s="140" t="s">
        <v>212</v>
      </c>
      <c r="B222" s="163">
        <v>46067.621527777781</v>
      </c>
      <c r="C222" s="163"/>
      <c r="D222" s="136" t="s">
        <v>259</v>
      </c>
      <c r="E222" s="140" t="s">
        <v>22</v>
      </c>
      <c r="F222" s="280" t="s">
        <v>23</v>
      </c>
      <c r="G222" s="280"/>
      <c r="H222" s="144" t="s">
        <v>259</v>
      </c>
      <c r="I222" s="140" t="s">
        <v>259</v>
      </c>
      <c r="J222" s="140" t="s">
        <v>42</v>
      </c>
      <c r="K222" s="135" t="str">
        <f>LEFT(Table_2[[#This Row],[Flt. ID]],2)&amp;RIGHT(Table_2[[#This Row],[Flt. ID]],3)</f>
        <v>UO688</v>
      </c>
      <c r="L222" s="131" t="str">
        <f>"H"&amp;ROW(Table_2[[#This Row],[A/C]])+1&amp;":H300"</f>
        <v>H223:H300</v>
      </c>
      <c r="M222" s="164" t="str">
        <f>IFERROR(
    IF(Table_2[[#This Row],[Arr/ Dep]]="A",
        IF(
            INDEX(B223:B467,MATCH(Table_2[[#This Row],[A/C]],H223:H467,0))
            - IF(Table_2[[#This Row],[ETA/ETD]]="",Table_2[[#This Row],[STA/STD]],Table_2[[#This Row],[ETA/ETD]]) &lt; 0,
            "ASAP",
            IF(Table_2[[#This Row],[ETA/ETD]]="",
                INDEX(B223:B467,MATCH(Table_2[[#This Row],[A/C]],H223:H467,0))-Table_2[[#This Row],[STA/STD]],
                INDEX(B223:B467,MATCH(Table_2[[#This Row],[A/C]],H223:H467,0))-Table_2[[#This Row],[ETA/ETD]])
        ),
        ""
    ),
"TBC")</f>
        <v/>
      </c>
      <c r="N222" s="140" t="str" cm="1">
        <f t="array" ref="N22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2" s="135" t="str">
        <f>Table_2[[#This Row],[A/C]]&amp;Table_2[[#This Row],[Column2]]</f>
        <v>-UO688</v>
      </c>
      <c r="Q22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2" s="166" t="str">
        <f>IFERROR(Table_2[[#This Row],[UTC TIME]]-TIME(1,30,0),"")</f>
        <v/>
      </c>
      <c r="S222" s="167"/>
      <c r="T222" s="167"/>
      <c r="U222" s="133"/>
      <c r="V222" s="133"/>
    </row>
    <row r="223" spans="1:22" hidden="1">
      <c r="A223" s="140" t="s">
        <v>213</v>
      </c>
      <c r="B223" s="163">
        <v>46067.625</v>
      </c>
      <c r="C223" s="163"/>
      <c r="D223" s="136" t="s">
        <v>259</v>
      </c>
      <c r="E223" s="140" t="s">
        <v>111</v>
      </c>
      <c r="F223" s="280" t="s">
        <v>112</v>
      </c>
      <c r="G223" s="280"/>
      <c r="H223" s="144" t="s">
        <v>259</v>
      </c>
      <c r="I223" s="140" t="s">
        <v>259</v>
      </c>
      <c r="J223" s="140" t="s">
        <v>26</v>
      </c>
      <c r="K223" s="135" t="str">
        <f>LEFT(Table_2[[#This Row],[Flt. ID]],2)&amp;RIGHT(Table_2[[#This Row],[Flt. ID]],3)</f>
        <v>UO173</v>
      </c>
      <c r="L223" s="131" t="str">
        <f>"H"&amp;ROW(Table_2[[#This Row],[A/C]])+1&amp;":H300"</f>
        <v>H224:H300</v>
      </c>
      <c r="M223" s="164">
        <f>IFERROR(
    IF(Table_2[[#This Row],[Arr/ Dep]]="A",
        IF(
            INDEX(B224:B468,MATCH(Table_2[[#This Row],[A/C]],H224:H468,0))
            - IF(Table_2[[#This Row],[ETA/ETD]]="",Table_2[[#This Row],[STA/STD]],Table_2[[#This Row],[ETA/ETD]]) &lt; 0,
            "ASAP",
            IF(Table_2[[#This Row],[ETA/ETD]]="",
                INDEX(B224:B468,MATCH(Table_2[[#This Row],[A/C]],H224:H468,0))-Table_2[[#This Row],[STA/STD]],
                INDEX(B224:B468,MATCH(Table_2[[#This Row],[A/C]],H224:H468,0))-Table_2[[#This Row],[ETA/ETD]])
        ),
        ""
    ),
"TBC")</f>
        <v>0</v>
      </c>
      <c r="N223" s="140" t="str" cm="1">
        <f t="array" ref="N22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3" s="135" t="str">
        <f>Table_2[[#This Row],[A/C]]&amp;Table_2[[#This Row],[Column2]]</f>
        <v>-UO173</v>
      </c>
      <c r="Q22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3" s="166" t="str">
        <f>IFERROR(Table_2[[#This Row],[UTC TIME]]-TIME(1,30,0),"")</f>
        <v/>
      </c>
      <c r="S223" s="167"/>
      <c r="T223" s="194"/>
      <c r="U223" s="133"/>
      <c r="V223" s="133"/>
    </row>
    <row r="224" spans="1:22" hidden="1">
      <c r="A224" s="140" t="s">
        <v>214</v>
      </c>
      <c r="B224" s="163">
        <v>46067.625</v>
      </c>
      <c r="C224" s="163"/>
      <c r="D224" s="136" t="s">
        <v>259</v>
      </c>
      <c r="E224" s="140" t="s">
        <v>128</v>
      </c>
      <c r="F224" s="280" t="s">
        <v>129</v>
      </c>
      <c r="G224" s="280"/>
      <c r="H224" s="144" t="s">
        <v>259</v>
      </c>
      <c r="I224" s="140" t="s">
        <v>259</v>
      </c>
      <c r="J224" s="140" t="s">
        <v>26</v>
      </c>
      <c r="K224" s="135" t="str">
        <f>LEFT(Table_2[[#This Row],[Flt. ID]],2)&amp;RIGHT(Table_2[[#This Row],[Flt. ID]],3)</f>
        <v>UO599</v>
      </c>
      <c r="L224" s="131" t="str">
        <f>"H"&amp;ROW(Table_2[[#This Row],[A/C]])+1&amp;":H300"</f>
        <v>H225:H300</v>
      </c>
      <c r="M224" s="164">
        <f>IFERROR(
    IF(Table_2[[#This Row],[Arr/ Dep]]="A",
        IF(
            INDEX(B225:B469,MATCH(Table_2[[#This Row],[A/C]],H225:H469,0))
            - IF(Table_2[[#This Row],[ETA/ETD]]="",Table_2[[#This Row],[STA/STD]],Table_2[[#This Row],[ETA/ETD]]) &lt; 0,
            "ASAP",
            IF(Table_2[[#This Row],[ETA/ETD]]="",
                INDEX(B225:B469,MATCH(Table_2[[#This Row],[A/C]],H225:H469,0))-Table_2[[#This Row],[STA/STD]],
                INDEX(B225:B469,MATCH(Table_2[[#This Row],[A/C]],H225:H469,0))-Table_2[[#This Row],[ETA/ETD]])
        ),
        ""
    ),
"TBC")</f>
        <v>3.4722222189884633E-3</v>
      </c>
      <c r="N224" s="140" t="str" cm="1">
        <f t="array" ref="N22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4" s="135" t="str">
        <f>Table_2[[#This Row],[A/C]]&amp;Table_2[[#This Row],[Column2]]</f>
        <v>-UO599</v>
      </c>
      <c r="Q22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4" s="166" t="str">
        <f>IFERROR(Table_2[[#This Row],[UTC TIME]]-TIME(1,30,0),"")</f>
        <v/>
      </c>
      <c r="S224" s="167"/>
      <c r="T224" s="167"/>
      <c r="U224" s="133"/>
      <c r="V224" s="133"/>
    </row>
    <row r="225" spans="1:22" hidden="1">
      <c r="A225" s="140" t="s">
        <v>215</v>
      </c>
      <c r="B225" s="163">
        <v>46067.628472222219</v>
      </c>
      <c r="C225" s="163"/>
      <c r="D225" s="136" t="s">
        <v>259</v>
      </c>
      <c r="E225" s="140" t="s">
        <v>182</v>
      </c>
      <c r="F225" s="280" t="s">
        <v>183</v>
      </c>
      <c r="G225" s="280"/>
      <c r="H225" s="144" t="s">
        <v>259</v>
      </c>
      <c r="I225" s="140" t="s">
        <v>259</v>
      </c>
      <c r="J225" s="140" t="s">
        <v>42</v>
      </c>
      <c r="K225" s="135" t="str">
        <f>LEFT(Table_2[[#This Row],[Flt. ID]],2)&amp;RIGHT(Table_2[[#This Row],[Flt. ID]],3)</f>
        <v>UO114</v>
      </c>
      <c r="L225" s="131" t="str">
        <f>"H"&amp;ROW(Table_2[[#This Row],[A/C]])+1&amp;":H300"</f>
        <v>H226:H300</v>
      </c>
      <c r="M225" s="164" t="str">
        <f>IFERROR(
    IF(Table_2[[#This Row],[Arr/ Dep]]="A",
        IF(
            INDEX(B226:B470,MATCH(Table_2[[#This Row],[A/C]],H226:H470,0))
            - IF(Table_2[[#This Row],[ETA/ETD]]="",Table_2[[#This Row],[STA/STD]],Table_2[[#This Row],[ETA/ETD]]) &lt; 0,
            "ASAP",
            IF(Table_2[[#This Row],[ETA/ETD]]="",
                INDEX(B226:B470,MATCH(Table_2[[#This Row],[A/C]],H226:H470,0))-Table_2[[#This Row],[STA/STD]],
                INDEX(B226:B470,MATCH(Table_2[[#This Row],[A/C]],H226:H470,0))-Table_2[[#This Row],[ETA/ETD]])
        ),
        ""
    ),
"TBC")</f>
        <v/>
      </c>
      <c r="N225" s="140" t="str" cm="1">
        <f t="array" ref="N22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5" s="135" t="str">
        <f>Table_2[[#This Row],[A/C]]&amp;Table_2[[#This Row],[Column2]]</f>
        <v>-UO114</v>
      </c>
      <c r="Q22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5" s="166" t="str">
        <f>IFERROR(Table_2[[#This Row],[UTC TIME]]-TIME(1,30,0),"")</f>
        <v/>
      </c>
      <c r="S225" s="167"/>
      <c r="T225" s="167"/>
    </row>
    <row r="226" spans="1:22" hidden="1">
      <c r="A226" s="140" t="s">
        <v>216</v>
      </c>
      <c r="B226" s="163">
        <v>46067.638888888891</v>
      </c>
      <c r="C226" s="163"/>
      <c r="D226" s="136" t="s">
        <v>259</v>
      </c>
      <c r="E226" s="140" t="s">
        <v>140</v>
      </c>
      <c r="F226" s="280" t="s">
        <v>141</v>
      </c>
      <c r="G226" s="280"/>
      <c r="H226" s="144" t="s">
        <v>259</v>
      </c>
      <c r="I226" s="140" t="s">
        <v>259</v>
      </c>
      <c r="J226" s="140" t="s">
        <v>26</v>
      </c>
      <c r="K226" s="135" t="str">
        <f>LEFT(Table_2[[#This Row],[Flt. ID]],2)&amp;RIGHT(Table_2[[#This Row],[Flt. ID]],3)</f>
        <v>UO563</v>
      </c>
      <c r="L226" s="131" t="str">
        <f>"H"&amp;ROW(Table_2[[#This Row],[A/C]])+1&amp;":H300"</f>
        <v>H227:H300</v>
      </c>
      <c r="M226" s="164">
        <f>IFERROR(
    IF(Table_2[[#This Row],[Arr/ Dep]]="A",
        IF(
            INDEX(B227:B471,MATCH(Table_2[[#This Row],[A/C]],H227:H471,0))
            - IF(Table_2[[#This Row],[ETA/ETD]]="",Table_2[[#This Row],[STA/STD]],Table_2[[#This Row],[ETA/ETD]]) &lt; 0,
            "ASAP",
            IF(Table_2[[#This Row],[ETA/ETD]]="",
                INDEX(B227:B471,MATCH(Table_2[[#This Row],[A/C]],H227:H471,0))-Table_2[[#This Row],[STA/STD]],
                INDEX(B227:B471,MATCH(Table_2[[#This Row],[A/C]],H227:H471,0))-Table_2[[#This Row],[ETA/ETD]])
        ),
        ""
    ),
"TBC")</f>
        <v>0</v>
      </c>
      <c r="N226" s="140" t="str" cm="1">
        <f t="array" ref="N22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6" s="135" t="str">
        <f>Table_2[[#This Row],[A/C]]&amp;Table_2[[#This Row],[Column2]]</f>
        <v>-UO563</v>
      </c>
      <c r="Q22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6" s="166" t="str">
        <f>IFERROR(Table_2[[#This Row],[UTC TIME]]-TIME(1,30,0),"")</f>
        <v/>
      </c>
      <c r="S226" s="167"/>
      <c r="T226" s="167"/>
      <c r="U226" s="133"/>
      <c r="V226" s="133"/>
    </row>
    <row r="227" spans="1:22" hidden="1">
      <c r="A227" s="140" t="s">
        <v>1119</v>
      </c>
      <c r="B227" s="163">
        <v>46067.638888888891</v>
      </c>
      <c r="C227" s="163"/>
      <c r="D227" s="136" t="s">
        <v>259</v>
      </c>
      <c r="E227" s="140" t="s">
        <v>63</v>
      </c>
      <c r="F227" s="280" t="s">
        <v>64</v>
      </c>
      <c r="G227" s="280"/>
      <c r="H227" s="144" t="s">
        <v>259</v>
      </c>
      <c r="I227" s="140" t="s">
        <v>259</v>
      </c>
      <c r="J227" s="140" t="s">
        <v>42</v>
      </c>
      <c r="K227" s="135" t="str">
        <f>LEFT(Table_2[[#This Row],[Flt. ID]],2)&amp;RIGHT(Table_2[[#This Row],[Flt. ID]],3)</f>
        <v>UO692</v>
      </c>
      <c r="L227" s="131" t="str">
        <f>"H"&amp;ROW(Table_2[[#This Row],[A/C]])+1&amp;":H300"</f>
        <v>H228:H300</v>
      </c>
      <c r="M227" s="164" t="str">
        <f>IFERROR(
    IF(Table_2[[#This Row],[Arr/ Dep]]="A",
        IF(
            INDEX(B228:B472,MATCH(Table_2[[#This Row],[A/C]],H228:H472,0))
            - IF(Table_2[[#This Row],[ETA/ETD]]="",Table_2[[#This Row],[STA/STD]],Table_2[[#This Row],[ETA/ETD]]) &lt; 0,
            "ASAP",
            IF(Table_2[[#This Row],[ETA/ETD]]="",
                INDEX(B228:B472,MATCH(Table_2[[#This Row],[A/C]],H228:H472,0))-Table_2[[#This Row],[STA/STD]],
                INDEX(B228:B472,MATCH(Table_2[[#This Row],[A/C]],H228:H472,0))-Table_2[[#This Row],[ETA/ETD]])
        ),
        ""
    ),
"TBC")</f>
        <v/>
      </c>
      <c r="N227" s="140" t="str" cm="1">
        <f t="array" ref="N22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7" s="135" t="str">
        <f>Table_2[[#This Row],[A/C]]&amp;Table_2[[#This Row],[Column2]]</f>
        <v>-UO692</v>
      </c>
      <c r="Q22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7" s="166" t="str">
        <f>IFERROR(Table_2[[#This Row],[UTC TIME]]-TIME(1,30,0),"")</f>
        <v/>
      </c>
      <c r="S227" s="167"/>
      <c r="T227" s="167"/>
      <c r="U227" s="133"/>
      <c r="V227" s="133"/>
    </row>
    <row r="228" spans="1:22" hidden="1">
      <c r="A228" s="140" t="s">
        <v>220</v>
      </c>
      <c r="B228" s="163">
        <v>46067.649305555555</v>
      </c>
      <c r="C228" s="163"/>
      <c r="D228" s="136" t="s">
        <v>259</v>
      </c>
      <c r="E228" s="140" t="s">
        <v>38</v>
      </c>
      <c r="F228" s="280" t="s">
        <v>39</v>
      </c>
      <c r="G228" s="280"/>
      <c r="H228" s="144" t="s">
        <v>259</v>
      </c>
      <c r="I228" s="140" t="s">
        <v>259</v>
      </c>
      <c r="J228" s="140" t="s">
        <v>26</v>
      </c>
      <c r="K228" s="135" t="str">
        <f>LEFT(Table_2[[#This Row],[Flt. ID]],2)&amp;RIGHT(Table_2[[#This Row],[Flt. ID]],3)</f>
        <v>UO619</v>
      </c>
      <c r="L228" s="131" t="str">
        <f>"H"&amp;ROW(Table_2[[#This Row],[A/C]])+1&amp;":H300"</f>
        <v>H229:H300</v>
      </c>
      <c r="M228" s="164">
        <f>IFERROR(
    IF(Table_2[[#This Row],[Arr/ Dep]]="A",
        IF(
            INDEX(B229:B473,MATCH(Table_2[[#This Row],[A/C]],H229:H473,0))
            - IF(Table_2[[#This Row],[ETA/ETD]]="",Table_2[[#This Row],[STA/STD]],Table_2[[#This Row],[ETA/ETD]]) &lt; 0,
            "ASAP",
            IF(Table_2[[#This Row],[ETA/ETD]]="",
                INDEX(B229:B473,MATCH(Table_2[[#This Row],[A/C]],H229:H473,0))-Table_2[[#This Row],[STA/STD]],
                INDEX(B229:B473,MATCH(Table_2[[#This Row],[A/C]],H229:H473,0))-Table_2[[#This Row],[ETA/ETD]])
        ),
        ""
    ),
"TBC")</f>
        <v>0</v>
      </c>
      <c r="N228" s="140" t="str" cm="1">
        <f t="array" ref="N22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8" s="135" t="str">
        <f>Table_2[[#This Row],[A/C]]&amp;Table_2[[#This Row],[Column2]]</f>
        <v>-UO619</v>
      </c>
      <c r="Q22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8" s="166" t="str">
        <f>IFERROR(Table_2[[#This Row],[UTC TIME]]-TIME(1,30,0),"")</f>
        <v/>
      </c>
      <c r="S228" s="167"/>
      <c r="T228" s="167"/>
      <c r="U228" s="133"/>
      <c r="V228" s="133"/>
    </row>
    <row r="229" spans="1:22" hidden="1">
      <c r="A229" s="140" t="s">
        <v>222</v>
      </c>
      <c r="B229" s="163">
        <v>46067.649305555555</v>
      </c>
      <c r="C229" s="163"/>
      <c r="D229" s="136" t="s">
        <v>259</v>
      </c>
      <c r="E229" s="140" t="s">
        <v>33</v>
      </c>
      <c r="F229" s="280" t="s">
        <v>34</v>
      </c>
      <c r="G229" s="280"/>
      <c r="H229" s="144" t="s">
        <v>259</v>
      </c>
      <c r="I229" s="140" t="s">
        <v>259</v>
      </c>
      <c r="J229" s="140" t="s">
        <v>42</v>
      </c>
      <c r="K229" s="135" t="str">
        <f>LEFT(Table_2[[#This Row],[Flt. ID]],2)&amp;RIGHT(Table_2[[#This Row],[Flt. ID]],3)</f>
        <v>UO684</v>
      </c>
      <c r="L229" s="131" t="str">
        <f>"H"&amp;ROW(Table_2[[#This Row],[A/C]])+1&amp;":H300"</f>
        <v>H230:H300</v>
      </c>
      <c r="M229" s="164" t="str">
        <f>IFERROR(
    IF(Table_2[[#This Row],[Arr/ Dep]]="A",
        IF(
            INDEX(B230:B474,MATCH(Table_2[[#This Row],[A/C]],H230:H474,0))
            - IF(Table_2[[#This Row],[ETA/ETD]]="",Table_2[[#This Row],[STA/STD]],Table_2[[#This Row],[ETA/ETD]]) &lt; 0,
            "ASAP",
            IF(Table_2[[#This Row],[ETA/ETD]]="",
                INDEX(B230:B474,MATCH(Table_2[[#This Row],[A/C]],H230:H474,0))-Table_2[[#This Row],[STA/STD]],
                INDEX(B230:B474,MATCH(Table_2[[#This Row],[A/C]],H230:H474,0))-Table_2[[#This Row],[ETA/ETD]])
        ),
        ""
    ),
"TBC")</f>
        <v/>
      </c>
      <c r="N229" s="140" t="str" cm="1">
        <f t="array" ref="N22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2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29" s="135" t="str">
        <f>Table_2[[#This Row],[A/C]]&amp;Table_2[[#This Row],[Column2]]</f>
        <v>-UO684</v>
      </c>
      <c r="Q22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29" s="166" t="str">
        <f>IFERROR(Table_2[[#This Row],[UTC TIME]]-TIME(1,30,0),"")</f>
        <v/>
      </c>
      <c r="S229" s="167"/>
      <c r="T229" s="167"/>
      <c r="U229" s="133"/>
      <c r="V229" s="133"/>
    </row>
    <row r="230" spans="1:22" hidden="1">
      <c r="A230" s="140" t="s">
        <v>219</v>
      </c>
      <c r="B230" s="163">
        <v>46067.652777777781</v>
      </c>
      <c r="C230" s="163"/>
      <c r="D230" s="136" t="s">
        <v>259</v>
      </c>
      <c r="E230" s="140" t="s">
        <v>103</v>
      </c>
      <c r="F230" s="280" t="s">
        <v>104</v>
      </c>
      <c r="G230" s="280"/>
      <c r="H230" s="144" t="s">
        <v>259</v>
      </c>
      <c r="I230" s="140" t="s">
        <v>259</v>
      </c>
      <c r="J230" s="140" t="s">
        <v>26</v>
      </c>
      <c r="K230" s="135" t="str">
        <f>LEFT(Table_2[[#This Row],[Flt. ID]],2)&amp;RIGHT(Table_2[[#This Row],[Flt. ID]],3)</f>
        <v>UO725</v>
      </c>
      <c r="L230" s="131" t="str">
        <f>"H"&amp;ROW(Table_2[[#This Row],[A/C]])+1&amp;":H300"</f>
        <v>H231:H300</v>
      </c>
      <c r="M230" s="164">
        <f>IFERROR(
    IF(Table_2[[#This Row],[Arr/ Dep]]="A",
        IF(
            INDEX(B231:B475,MATCH(Table_2[[#This Row],[A/C]],H231:H475,0))
            - IF(Table_2[[#This Row],[ETA/ETD]]="",Table_2[[#This Row],[STA/STD]],Table_2[[#This Row],[ETA/ETD]]) &lt; 0,
            "ASAP",
            IF(Table_2[[#This Row],[ETA/ETD]]="",
                INDEX(B231:B475,MATCH(Table_2[[#This Row],[A/C]],H231:H475,0))-Table_2[[#This Row],[STA/STD]],
                INDEX(B231:B475,MATCH(Table_2[[#This Row],[A/C]],H231:H475,0))-Table_2[[#This Row],[ETA/ETD]])
        ),
        ""
    ),
"TBC")</f>
        <v>3.4722222189884633E-3</v>
      </c>
      <c r="N230" s="140" t="str" cm="1">
        <f t="array" ref="N23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0" s="135" t="str">
        <f>Table_2[[#This Row],[A/C]]&amp;Table_2[[#This Row],[Column2]]</f>
        <v>-UO725</v>
      </c>
      <c r="Q23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0" s="166" t="str">
        <f>IFERROR(Table_2[[#This Row],[UTC TIME]]-TIME(1,30,0),"")</f>
        <v/>
      </c>
      <c r="S230" s="167"/>
      <c r="T230" s="167"/>
    </row>
    <row r="231" spans="1:22" hidden="1">
      <c r="A231" s="140" t="s">
        <v>223</v>
      </c>
      <c r="B231" s="163">
        <v>46067.65625</v>
      </c>
      <c r="C231" s="163"/>
      <c r="D231" s="136" t="s">
        <v>259</v>
      </c>
      <c r="E231" s="140" t="s">
        <v>22</v>
      </c>
      <c r="F231" s="280" t="s">
        <v>23</v>
      </c>
      <c r="G231" s="280"/>
      <c r="H231" s="144" t="s">
        <v>259</v>
      </c>
      <c r="I231" s="140" t="s">
        <v>259</v>
      </c>
      <c r="J231" s="140" t="s">
        <v>42</v>
      </c>
      <c r="K231" s="135" t="str">
        <f>LEFT(Table_2[[#This Row],[Flt. ID]],2)&amp;RIGHT(Table_2[[#This Row],[Flt. ID]],3)</f>
        <v>UO862</v>
      </c>
      <c r="L231" s="131" t="str">
        <f>"H"&amp;ROW(Table_2[[#This Row],[A/C]])+1&amp;":H300"</f>
        <v>H232:H300</v>
      </c>
      <c r="M231" s="164" t="str">
        <f>IFERROR(
    IF(Table_2[[#This Row],[Arr/ Dep]]="A",
        IF(
            INDEX(B232:B476,MATCH(Table_2[[#This Row],[A/C]],H232:H476,0))
            - IF(Table_2[[#This Row],[ETA/ETD]]="",Table_2[[#This Row],[STA/STD]],Table_2[[#This Row],[ETA/ETD]]) &lt; 0,
            "ASAP",
            IF(Table_2[[#This Row],[ETA/ETD]]="",
                INDEX(B232:B476,MATCH(Table_2[[#This Row],[A/C]],H232:H476,0))-Table_2[[#This Row],[STA/STD]],
                INDEX(B232:B476,MATCH(Table_2[[#This Row],[A/C]],H232:H476,0))-Table_2[[#This Row],[ETA/ETD]])
        ),
        ""
    ),
"TBC")</f>
        <v/>
      </c>
      <c r="N231" s="140" t="str" cm="1">
        <f t="array" ref="N23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1" s="135" t="str">
        <f>Table_2[[#This Row],[A/C]]&amp;Table_2[[#This Row],[Column2]]</f>
        <v>-UO862</v>
      </c>
      <c r="Q23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1" s="166" t="str">
        <f>IFERROR(Table_2[[#This Row],[UTC TIME]]-TIME(1,30,0),"")</f>
        <v/>
      </c>
      <c r="S231" s="167"/>
      <c r="T231" s="167"/>
      <c r="U231" s="133"/>
      <c r="V231" s="133"/>
    </row>
    <row r="232" spans="1:22" hidden="1">
      <c r="A232" s="140" t="s">
        <v>225</v>
      </c>
      <c r="B232" s="163">
        <v>46067.659722222219</v>
      </c>
      <c r="C232" s="163"/>
      <c r="D232" s="136" t="s">
        <v>259</v>
      </c>
      <c r="E232" s="140" t="s">
        <v>122</v>
      </c>
      <c r="F232" s="280" t="s">
        <v>123</v>
      </c>
      <c r="G232" s="280"/>
      <c r="H232" s="144" t="s">
        <v>259</v>
      </c>
      <c r="I232" s="140" t="s">
        <v>259</v>
      </c>
      <c r="J232" s="140" t="s">
        <v>26</v>
      </c>
      <c r="K232" s="135" t="str">
        <f>LEFT(Table_2[[#This Row],[Flt. ID]],2)&amp;RIGHT(Table_2[[#This Row],[Flt. ID]],3)</f>
        <v>UO601</v>
      </c>
      <c r="L232" s="131" t="str">
        <f>"H"&amp;ROW(Table_2[[#This Row],[A/C]])+1&amp;":H300"</f>
        <v>H233:H300</v>
      </c>
      <c r="M232" s="164">
        <f>IFERROR(
    IF(Table_2[[#This Row],[Arr/ Dep]]="A",
        IF(
            INDEX(B233:B477,MATCH(Table_2[[#This Row],[A/C]],H233:H477,0))
            - IF(Table_2[[#This Row],[ETA/ETD]]="",Table_2[[#This Row],[STA/STD]],Table_2[[#This Row],[ETA/ETD]]) &lt; 0,
            "ASAP",
            IF(Table_2[[#This Row],[ETA/ETD]]="",
                INDEX(B233:B477,MATCH(Table_2[[#This Row],[A/C]],H233:H477,0))-Table_2[[#This Row],[STA/STD]],
                INDEX(B233:B477,MATCH(Table_2[[#This Row],[A/C]],H233:H477,0))-Table_2[[#This Row],[ETA/ETD]])
        ),
        ""
    ),
"TBC")</f>
        <v>0</v>
      </c>
      <c r="N232" s="140" t="str" cm="1">
        <f t="array" ref="N23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2" s="135" t="str">
        <f>Table_2[[#This Row],[A/C]]&amp;Table_2[[#This Row],[Column2]]</f>
        <v>-UO601</v>
      </c>
      <c r="Q23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2" s="166" t="str">
        <f>IFERROR(Table_2[[#This Row],[UTC TIME]]-TIME(1,30,0),"")</f>
        <v/>
      </c>
      <c r="S232" s="167"/>
      <c r="T232" s="195"/>
      <c r="U232" s="133"/>
      <c r="V232" s="133"/>
    </row>
    <row r="233" spans="1:22" hidden="1">
      <c r="A233" s="140" t="s">
        <v>226</v>
      </c>
      <c r="B233" s="163">
        <v>46067.659722222219</v>
      </c>
      <c r="C233" s="163"/>
      <c r="D233" s="136" t="s">
        <v>259</v>
      </c>
      <c r="E233" s="140" t="s">
        <v>106</v>
      </c>
      <c r="F233" s="280" t="s">
        <v>107</v>
      </c>
      <c r="G233" s="280"/>
      <c r="H233" s="144" t="s">
        <v>259</v>
      </c>
      <c r="I233" s="140" t="s">
        <v>259</v>
      </c>
      <c r="J233" s="140" t="s">
        <v>42</v>
      </c>
      <c r="K233" s="135" t="str">
        <f>LEFT(Table_2[[#This Row],[Flt. ID]],2)&amp;RIGHT(Table_2[[#This Row],[Flt. ID]],3)</f>
        <v>UO826</v>
      </c>
      <c r="L233" s="131" t="str">
        <f>"H"&amp;ROW(Table_2[[#This Row],[A/C]])+1&amp;":H300"</f>
        <v>H234:H300</v>
      </c>
      <c r="M233" s="164" t="str">
        <f>IFERROR(
    IF(Table_2[[#This Row],[Arr/ Dep]]="A",
        IF(
            INDEX(B234:B478,MATCH(Table_2[[#This Row],[A/C]],H234:H478,0))
            - IF(Table_2[[#This Row],[ETA/ETD]]="",Table_2[[#This Row],[STA/STD]],Table_2[[#This Row],[ETA/ETD]]) &lt; 0,
            "ASAP",
            IF(Table_2[[#This Row],[ETA/ETD]]="",
                INDEX(B234:B478,MATCH(Table_2[[#This Row],[A/C]],H234:H478,0))-Table_2[[#This Row],[STA/STD]],
                INDEX(B234:B478,MATCH(Table_2[[#This Row],[A/C]],H234:H478,0))-Table_2[[#This Row],[ETA/ETD]])
        ),
        ""
    ),
"TBC")</f>
        <v/>
      </c>
      <c r="N233" s="140" t="str" cm="1">
        <f t="array" ref="N23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3" s="135" t="str">
        <f>Table_2[[#This Row],[A/C]]&amp;Table_2[[#This Row],[Column2]]</f>
        <v>-UO826</v>
      </c>
      <c r="Q23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3" s="166" t="str">
        <f>IFERROR(Table_2[[#This Row],[UTC TIME]]-TIME(1,30,0),"")</f>
        <v/>
      </c>
      <c r="S233" s="167"/>
      <c r="T233" s="167"/>
      <c r="U233" s="133"/>
      <c r="V233" s="133"/>
    </row>
    <row r="234" spans="1:22" hidden="1">
      <c r="A234" s="140" t="s">
        <v>227</v>
      </c>
      <c r="B234" s="163">
        <v>46067.666666666664</v>
      </c>
      <c r="C234" s="163"/>
      <c r="D234" s="136" t="s">
        <v>259</v>
      </c>
      <c r="E234" s="140" t="s">
        <v>182</v>
      </c>
      <c r="F234" s="280" t="s">
        <v>183</v>
      </c>
      <c r="G234" s="280"/>
      <c r="H234" s="144" t="s">
        <v>259</v>
      </c>
      <c r="I234" s="140" t="s">
        <v>259</v>
      </c>
      <c r="J234" s="140" t="s">
        <v>26</v>
      </c>
      <c r="K234" s="135" t="str">
        <f>LEFT(Table_2[[#This Row],[Flt. ID]],2)&amp;RIGHT(Table_2[[#This Row],[Flt. ID]],3)</f>
        <v>UO111</v>
      </c>
      <c r="L234" s="131" t="str">
        <f>"H"&amp;ROW(Table_2[[#This Row],[A/C]])+1&amp;":H300"</f>
        <v>H235:H300</v>
      </c>
      <c r="M234" s="164">
        <f>IFERROR(
    IF(Table_2[[#This Row],[Arr/ Dep]]="A",
        IF(
            INDEX(B235:B479,MATCH(Table_2[[#This Row],[A/C]],H235:H479,0))
            - IF(Table_2[[#This Row],[ETA/ETD]]="",Table_2[[#This Row],[STA/STD]],Table_2[[#This Row],[ETA/ETD]]) &lt; 0,
            "ASAP",
            IF(Table_2[[#This Row],[ETA/ETD]]="",
                INDEX(B235:B479,MATCH(Table_2[[#This Row],[A/C]],H235:H479,0))-Table_2[[#This Row],[STA/STD]],
                INDEX(B235:B479,MATCH(Table_2[[#This Row],[A/C]],H235:H479,0))-Table_2[[#This Row],[ETA/ETD]])
        ),
        ""
    ),
"TBC")</f>
        <v>6.9444444452528842E-3</v>
      </c>
      <c r="N234" s="140" t="str" cm="1">
        <f t="array" ref="N23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4" s="135" t="str">
        <f>Table_2[[#This Row],[A/C]]&amp;Table_2[[#This Row],[Column2]]</f>
        <v>-UO111</v>
      </c>
      <c r="Q23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4" s="166" t="str">
        <f>IFERROR(Table_2[[#This Row],[UTC TIME]]-TIME(1,30,0),"")</f>
        <v/>
      </c>
      <c r="S234" s="167"/>
      <c r="T234" s="167"/>
      <c r="U234" s="133"/>
      <c r="V234" s="133"/>
    </row>
    <row r="235" spans="1:22" hidden="1">
      <c r="A235" s="140" t="s">
        <v>1120</v>
      </c>
      <c r="B235" s="163">
        <v>46067.673611111109</v>
      </c>
      <c r="C235" s="163"/>
      <c r="D235" s="136" t="s">
        <v>259</v>
      </c>
      <c r="E235" s="140" t="s">
        <v>111</v>
      </c>
      <c r="F235" s="280" t="s">
        <v>112</v>
      </c>
      <c r="G235" s="280"/>
      <c r="H235" s="144" t="s">
        <v>259</v>
      </c>
      <c r="I235" s="140" t="s">
        <v>259</v>
      </c>
      <c r="J235" s="140" t="s">
        <v>26</v>
      </c>
      <c r="K235" s="135" t="str">
        <f>LEFT(Table_2[[#This Row],[Flt. ID]],2)&amp;RIGHT(Table_2[[#This Row],[Flt. ID]],3)</f>
        <v>UO143</v>
      </c>
      <c r="L235" s="131" t="str">
        <f>"H"&amp;ROW(Table_2[[#This Row],[A/C]])+1&amp;":H300"</f>
        <v>H236:H300</v>
      </c>
      <c r="M235" s="164">
        <f>IFERROR(
    IF(Table_2[[#This Row],[Arr/ Dep]]="A",
        IF(
            INDEX(B236:B480,MATCH(Table_2[[#This Row],[A/C]],H236:H480,0))
            - IF(Table_2[[#This Row],[ETA/ETD]]="",Table_2[[#This Row],[STA/STD]],Table_2[[#This Row],[ETA/ETD]]) &lt; 0,
            "ASAP",
            IF(Table_2[[#This Row],[ETA/ETD]]="",
                INDEX(B236:B480,MATCH(Table_2[[#This Row],[A/C]],H236:H480,0))-Table_2[[#This Row],[STA/STD]],
                INDEX(B236:B480,MATCH(Table_2[[#This Row],[A/C]],H236:H480,0))-Table_2[[#This Row],[ETA/ETD]])
        ),
        ""
    ),
"TBC")</f>
        <v>0</v>
      </c>
      <c r="N235" s="140" t="str" cm="1">
        <f t="array" ref="N23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5" s="135" t="str">
        <f>Table_2[[#This Row],[A/C]]&amp;Table_2[[#This Row],[Column2]]</f>
        <v>-UO143</v>
      </c>
      <c r="Q23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5" s="166" t="str">
        <f>IFERROR(Table_2[[#This Row],[UTC TIME]]-TIME(1,30,0),"")</f>
        <v/>
      </c>
      <c r="S235" s="167"/>
      <c r="T235" s="167"/>
      <c r="U235" s="133"/>
      <c r="V235" s="133"/>
    </row>
    <row r="236" spans="1:22" hidden="1">
      <c r="A236" s="140" t="s">
        <v>228</v>
      </c>
      <c r="B236" s="163">
        <v>46067.673611111109</v>
      </c>
      <c r="C236" s="163"/>
      <c r="D236" s="136" t="s">
        <v>259</v>
      </c>
      <c r="E236" s="140" t="s">
        <v>128</v>
      </c>
      <c r="F236" s="280" t="s">
        <v>129</v>
      </c>
      <c r="G236" s="280"/>
      <c r="H236" s="144" t="s">
        <v>259</v>
      </c>
      <c r="I236" s="140" t="s">
        <v>259</v>
      </c>
      <c r="J236" s="140" t="s">
        <v>42</v>
      </c>
      <c r="K236" s="135" t="str">
        <f>LEFT(Table_2[[#This Row],[Flt. ID]],2)&amp;RIGHT(Table_2[[#This Row],[Flt. ID]],3)</f>
        <v>UO568</v>
      </c>
      <c r="L236" s="131" t="str">
        <f>"H"&amp;ROW(Table_2[[#This Row],[A/C]])+1&amp;":H300"</f>
        <v>H237:H300</v>
      </c>
      <c r="M236" s="164" t="str">
        <f>IFERROR(
    IF(Table_2[[#This Row],[Arr/ Dep]]="A",
        IF(
            INDEX(B237:B481,MATCH(Table_2[[#This Row],[A/C]],H237:H481,0))
            - IF(Table_2[[#This Row],[ETA/ETD]]="",Table_2[[#This Row],[STA/STD]],Table_2[[#This Row],[ETA/ETD]]) &lt; 0,
            "ASAP",
            IF(Table_2[[#This Row],[ETA/ETD]]="",
                INDEX(B237:B481,MATCH(Table_2[[#This Row],[A/C]],H237:H481,0))-Table_2[[#This Row],[STA/STD]],
                INDEX(B237:B481,MATCH(Table_2[[#This Row],[A/C]],H237:H481,0))-Table_2[[#This Row],[ETA/ETD]])
        ),
        ""
    ),
"TBC")</f>
        <v/>
      </c>
      <c r="N236" s="140" t="str" cm="1">
        <f t="array" ref="N23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6" s="135" t="str">
        <f>Table_2[[#This Row],[A/C]]&amp;Table_2[[#This Row],[Column2]]</f>
        <v>-UO568</v>
      </c>
      <c r="Q23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6" s="166" t="str">
        <f>IFERROR(Table_2[[#This Row],[UTC TIME]]-TIME(1,30,0),"")</f>
        <v/>
      </c>
      <c r="S236" s="167"/>
      <c r="T236" s="167"/>
      <c r="U236" s="133"/>
      <c r="V236" s="133"/>
    </row>
    <row r="237" spans="1:22" hidden="1">
      <c r="A237" s="140" t="s">
        <v>229</v>
      </c>
      <c r="B237" s="163">
        <v>46067.680555555555</v>
      </c>
      <c r="C237" s="163"/>
      <c r="D237" s="136" t="s">
        <v>259</v>
      </c>
      <c r="E237" s="140" t="s">
        <v>56</v>
      </c>
      <c r="F237" s="280" t="s">
        <v>57</v>
      </c>
      <c r="G237" s="280"/>
      <c r="H237" s="144" t="s">
        <v>259</v>
      </c>
      <c r="I237" s="140" t="s">
        <v>259</v>
      </c>
      <c r="J237" s="140" t="s">
        <v>42</v>
      </c>
      <c r="K237" s="135" t="str">
        <f>LEFT(Table_2[[#This Row],[Flt. ID]],2)&amp;RIGHT(Table_2[[#This Row],[Flt. ID]],3)</f>
        <v>UO716</v>
      </c>
      <c r="L237" s="131" t="str">
        <f>"H"&amp;ROW(Table_2[[#This Row],[A/C]])+1&amp;":H300"</f>
        <v>H238:H300</v>
      </c>
      <c r="M237" s="164" t="str">
        <f>IFERROR(
    IF(Table_2[[#This Row],[Arr/ Dep]]="A",
        IF(
            INDEX(B238:B482,MATCH(Table_2[[#This Row],[A/C]],H238:H482,0))
            - IF(Table_2[[#This Row],[ETA/ETD]]="",Table_2[[#This Row],[STA/STD]],Table_2[[#This Row],[ETA/ETD]]) &lt; 0,
            "ASAP",
            IF(Table_2[[#This Row],[ETA/ETD]]="",
                INDEX(B238:B482,MATCH(Table_2[[#This Row],[A/C]],H238:H482,0))-Table_2[[#This Row],[STA/STD]],
                INDEX(B238:B482,MATCH(Table_2[[#This Row],[A/C]],H238:H482,0))-Table_2[[#This Row],[ETA/ETD]])
        ),
        ""
    ),
"TBC")</f>
        <v/>
      </c>
      <c r="N237" s="140" t="str" cm="1">
        <f t="array" ref="N23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7" s="135" t="str">
        <f>Table_2[[#This Row],[A/C]]&amp;Table_2[[#This Row],[Column2]]</f>
        <v>-UO716</v>
      </c>
      <c r="Q23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7" s="166" t="str">
        <f>IFERROR(Table_2[[#This Row],[UTC TIME]]-TIME(1,30,0),"")</f>
        <v/>
      </c>
      <c r="S237" s="167"/>
      <c r="T237" s="167"/>
      <c r="U237" s="133"/>
      <c r="V237" s="133"/>
    </row>
    <row r="238" spans="1:22" hidden="1">
      <c r="A238" s="140" t="s">
        <v>230</v>
      </c>
      <c r="B238" s="163">
        <v>46067.690972222219</v>
      </c>
      <c r="C238" s="163"/>
      <c r="D238" s="136" t="s">
        <v>259</v>
      </c>
      <c r="E238" s="140" t="s">
        <v>133</v>
      </c>
      <c r="F238" s="280" t="s">
        <v>134</v>
      </c>
      <c r="G238" s="280"/>
      <c r="H238" s="144" t="s">
        <v>259</v>
      </c>
      <c r="I238" s="140" t="s">
        <v>259</v>
      </c>
      <c r="J238" s="140" t="s">
        <v>26</v>
      </c>
      <c r="K238" s="135" t="str">
        <f>LEFT(Table_2[[#This Row],[Flt. ID]],2)&amp;RIGHT(Table_2[[#This Row],[Flt. ID]],3)</f>
        <v>UO133</v>
      </c>
      <c r="L238" s="131" t="str">
        <f>"H"&amp;ROW(Table_2[[#This Row],[A/C]])+1&amp;":H300"</f>
        <v>H239:H300</v>
      </c>
      <c r="M238" s="164">
        <f>IFERROR(
    IF(Table_2[[#This Row],[Arr/ Dep]]="A",
        IF(
            INDEX(B239:B483,MATCH(Table_2[[#This Row],[A/C]],H239:H483,0))
            - IF(Table_2[[#This Row],[ETA/ETD]]="",Table_2[[#This Row],[STA/STD]],Table_2[[#This Row],[ETA/ETD]]) &lt; 0,
            "ASAP",
            IF(Table_2[[#This Row],[ETA/ETD]]="",
                INDEX(B239:B483,MATCH(Table_2[[#This Row],[A/C]],H239:H483,0))-Table_2[[#This Row],[STA/STD]],
                INDEX(B239:B483,MATCH(Table_2[[#This Row],[A/C]],H239:H483,0))-Table_2[[#This Row],[ETA/ETD]])
        ),
        ""
    ),
"TBC")</f>
        <v>0</v>
      </c>
      <c r="N238" s="140" t="str" cm="1">
        <f t="array" ref="N23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8" s="135" t="str">
        <f>Table_2[[#This Row],[A/C]]&amp;Table_2[[#This Row],[Column2]]</f>
        <v>-UO133</v>
      </c>
      <c r="Q23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8" s="166" t="str">
        <f>IFERROR(Table_2[[#This Row],[UTC TIME]]-TIME(1,30,0),"")</f>
        <v/>
      </c>
      <c r="S238" s="167"/>
      <c r="T238" s="167"/>
      <c r="U238" s="133"/>
      <c r="V238" s="133"/>
    </row>
    <row r="239" spans="1:22" hidden="1">
      <c r="A239" s="140" t="s">
        <v>231</v>
      </c>
      <c r="B239" s="163">
        <v>46067.690972222219</v>
      </c>
      <c r="C239" s="163"/>
      <c r="D239" s="136" t="s">
        <v>259</v>
      </c>
      <c r="E239" s="140" t="s">
        <v>38</v>
      </c>
      <c r="F239" s="280" t="s">
        <v>39</v>
      </c>
      <c r="G239" s="280"/>
      <c r="H239" s="144" t="s">
        <v>259</v>
      </c>
      <c r="I239" s="140" t="s">
        <v>259</v>
      </c>
      <c r="J239" s="140" t="s">
        <v>42</v>
      </c>
      <c r="K239" s="135" t="str">
        <f>LEFT(Table_2[[#This Row],[Flt. ID]],2)&amp;RIGHT(Table_2[[#This Row],[Flt. ID]],3)</f>
        <v>UO626</v>
      </c>
      <c r="L239" s="131" t="str">
        <f>"H"&amp;ROW(Table_2[[#This Row],[A/C]])+1&amp;":H300"</f>
        <v>H240:H300</v>
      </c>
      <c r="M239" s="164" t="str">
        <f>IFERROR(
    IF(Table_2[[#This Row],[Arr/ Dep]]="A",
        IF(
            INDEX(B240:B484,MATCH(Table_2[[#This Row],[A/C]],H240:H484,0))
            - IF(Table_2[[#This Row],[ETA/ETD]]="",Table_2[[#This Row],[STA/STD]],Table_2[[#This Row],[ETA/ETD]]) &lt; 0,
            "ASAP",
            IF(Table_2[[#This Row],[ETA/ETD]]="",
                INDEX(B240:B484,MATCH(Table_2[[#This Row],[A/C]],H240:H484,0))-Table_2[[#This Row],[STA/STD]],
                INDEX(B240:B484,MATCH(Table_2[[#This Row],[A/C]],H240:H484,0))-Table_2[[#This Row],[ETA/ETD]])
        ),
        ""
    ),
"TBC")</f>
        <v/>
      </c>
      <c r="N239" s="140" t="str" cm="1">
        <f t="array" ref="N23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3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39" s="135" t="str">
        <f>Table_2[[#This Row],[A/C]]&amp;Table_2[[#This Row],[Column2]]</f>
        <v>-UO626</v>
      </c>
      <c r="Q23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39" s="166" t="str">
        <f>IFERROR(Table_2[[#This Row],[UTC TIME]]-TIME(1,30,0),"")</f>
        <v/>
      </c>
      <c r="S239" s="167"/>
      <c r="T239" s="167"/>
    </row>
    <row r="240" spans="1:22" hidden="1">
      <c r="A240" s="140" t="s">
        <v>232</v>
      </c>
      <c r="B240" s="163">
        <v>46067.694444444445</v>
      </c>
      <c r="C240" s="163"/>
      <c r="D240" s="136" t="s">
        <v>259</v>
      </c>
      <c r="E240" s="140" t="s">
        <v>136</v>
      </c>
      <c r="F240" s="280" t="s">
        <v>137</v>
      </c>
      <c r="G240" s="280"/>
      <c r="H240" s="144" t="s">
        <v>259</v>
      </c>
      <c r="I240" s="140" t="s">
        <v>259</v>
      </c>
      <c r="J240" s="140" t="s">
        <v>26</v>
      </c>
      <c r="K240" s="135" t="str">
        <f>LEFT(Table_2[[#This Row],[Flt. ID]],2)&amp;RIGHT(Table_2[[#This Row],[Flt. ID]],3)</f>
        <v>UO839</v>
      </c>
      <c r="L240" s="131" t="str">
        <f>"H"&amp;ROW(Table_2[[#This Row],[A/C]])+1&amp;":H300"</f>
        <v>H241:H300</v>
      </c>
      <c r="M240" s="164">
        <f>IFERROR(
    IF(Table_2[[#This Row],[Arr/ Dep]]="A",
        IF(
            INDEX(B241:B485,MATCH(Table_2[[#This Row],[A/C]],H241:H485,0))
            - IF(Table_2[[#This Row],[ETA/ETD]]="",Table_2[[#This Row],[STA/STD]],Table_2[[#This Row],[ETA/ETD]]) &lt; 0,
            "ASAP",
            IF(Table_2[[#This Row],[ETA/ETD]]="",
                INDEX(B241:B485,MATCH(Table_2[[#This Row],[A/C]],H241:H485,0))-Table_2[[#This Row],[STA/STD]],
                INDEX(B241:B485,MATCH(Table_2[[#This Row],[A/C]],H241:H485,0))-Table_2[[#This Row],[ETA/ETD]])
        ),
        ""
    ),
"TBC")</f>
        <v>3.4722222189884633E-3</v>
      </c>
      <c r="N240" s="140" t="str" cm="1">
        <f t="array" ref="N24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0" s="135" t="str">
        <f>Table_2[[#This Row],[A/C]]&amp;Table_2[[#This Row],[Column2]]</f>
        <v>-UO839</v>
      </c>
      <c r="Q24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0" s="166" t="str">
        <f>IFERROR(Table_2[[#This Row],[UTC TIME]]-TIME(1,30,0),"")</f>
        <v/>
      </c>
      <c r="S240" s="167"/>
      <c r="T240" s="167"/>
    </row>
    <row r="241" spans="1:25" hidden="1">
      <c r="A241" s="140" t="s">
        <v>234</v>
      </c>
      <c r="B241" s="163">
        <v>46067.697916666664</v>
      </c>
      <c r="C241" s="163"/>
      <c r="D241" s="136" t="s">
        <v>259</v>
      </c>
      <c r="E241" s="140" t="s">
        <v>119</v>
      </c>
      <c r="F241" s="280" t="s">
        <v>120</v>
      </c>
      <c r="G241" s="280"/>
      <c r="H241" s="144" t="s">
        <v>259</v>
      </c>
      <c r="I241" s="140" t="s">
        <v>259</v>
      </c>
      <c r="J241" s="140" t="s">
        <v>42</v>
      </c>
      <c r="K241" s="135" t="str">
        <f>LEFT(Table_2[[#This Row],[Flt. ID]],2)&amp;RIGHT(Table_2[[#This Row],[Flt. ID]],3)</f>
        <v>UO744</v>
      </c>
      <c r="L241" s="131" t="str">
        <f>"H"&amp;ROW(Table_2[[#This Row],[A/C]])+1&amp;":H300"</f>
        <v>H242:H300</v>
      </c>
      <c r="M241" s="164" t="str">
        <f>IFERROR(
    IF(Table_2[[#This Row],[Arr/ Dep]]="A",
        IF(
            INDEX(B242:B486,MATCH(Table_2[[#This Row],[A/C]],H242:H486,0))
            - IF(Table_2[[#This Row],[ETA/ETD]]="",Table_2[[#This Row],[STA/STD]],Table_2[[#This Row],[ETA/ETD]]) &lt; 0,
            "ASAP",
            IF(Table_2[[#This Row],[ETA/ETD]]="",
                INDEX(B242:B486,MATCH(Table_2[[#This Row],[A/C]],H242:H486,0))-Table_2[[#This Row],[STA/STD]],
                INDEX(B242:B486,MATCH(Table_2[[#This Row],[A/C]],H242:H486,0))-Table_2[[#This Row],[ETA/ETD]])
        ),
        ""
    ),
"TBC")</f>
        <v/>
      </c>
      <c r="N241" s="140" t="str" cm="1">
        <f t="array" ref="N24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1" s="135" t="str">
        <f>Table_2[[#This Row],[A/C]]&amp;Table_2[[#This Row],[Column2]]</f>
        <v>-UO744</v>
      </c>
      <c r="Q24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1" s="166" t="str">
        <f>IFERROR(Table_2[[#This Row],[UTC TIME]]-TIME(1,30,0),"")</f>
        <v/>
      </c>
      <c r="S241" s="167"/>
      <c r="T241" s="167"/>
      <c r="U241" s="133"/>
      <c r="V241" s="133"/>
    </row>
    <row r="242" spans="1:25" hidden="1">
      <c r="A242" s="140" t="s">
        <v>235</v>
      </c>
      <c r="B242" s="163">
        <v>46067.701388888891</v>
      </c>
      <c r="C242" s="163"/>
      <c r="D242" s="136" t="s">
        <v>259</v>
      </c>
      <c r="E242" s="140" t="s">
        <v>140</v>
      </c>
      <c r="F242" s="280" t="s">
        <v>141</v>
      </c>
      <c r="G242" s="280"/>
      <c r="H242" s="144" t="s">
        <v>259</v>
      </c>
      <c r="I242" s="140" t="s">
        <v>259</v>
      </c>
      <c r="J242" s="140" t="s">
        <v>42</v>
      </c>
      <c r="K242" s="135" t="str">
        <f>LEFT(Table_2[[#This Row],[Flt. ID]],2)&amp;RIGHT(Table_2[[#This Row],[Flt. ID]],3)</f>
        <v>UO558</v>
      </c>
      <c r="L242" s="131" t="str">
        <f>"H"&amp;ROW(Table_2[[#This Row],[A/C]])+1&amp;":H300"</f>
        <v>H243:H300</v>
      </c>
      <c r="M242" s="164" t="str">
        <f>IFERROR(
    IF(Table_2[[#This Row],[Arr/ Dep]]="A",
        IF(
            INDEX(B243:B487,MATCH(Table_2[[#This Row],[A/C]],H243:H487,0))
            - IF(Table_2[[#This Row],[ETA/ETD]]="",Table_2[[#This Row],[STA/STD]],Table_2[[#This Row],[ETA/ETD]]) &lt; 0,
            "ASAP",
            IF(Table_2[[#This Row],[ETA/ETD]]="",
                INDEX(B243:B487,MATCH(Table_2[[#This Row],[A/C]],H243:H487,0))-Table_2[[#This Row],[STA/STD]],
                INDEX(B243:B487,MATCH(Table_2[[#This Row],[A/C]],H243:H487,0))-Table_2[[#This Row],[ETA/ETD]])
        ),
        ""
    ),
"TBC")</f>
        <v/>
      </c>
      <c r="N242" s="140" t="str" cm="1">
        <f t="array" ref="N24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2" s="135" t="str">
        <f>Table_2[[#This Row],[A/C]]&amp;Table_2[[#This Row],[Column2]]</f>
        <v>-UO558</v>
      </c>
      <c r="Q24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2" s="166" t="str">
        <f>IFERROR(Table_2[[#This Row],[UTC TIME]]-TIME(1,30,0),"")</f>
        <v/>
      </c>
      <c r="S242" s="138"/>
      <c r="T242" s="180"/>
    </row>
    <row r="243" spans="1:25" hidden="1">
      <c r="A243" s="140" t="s">
        <v>238</v>
      </c>
      <c r="B243" s="163">
        <v>46067.701388888891</v>
      </c>
      <c r="C243" s="163"/>
      <c r="D243" s="136" t="s">
        <v>259</v>
      </c>
      <c r="E243" s="140" t="s">
        <v>146</v>
      </c>
      <c r="F243" s="280" t="s">
        <v>147</v>
      </c>
      <c r="G243" s="280"/>
      <c r="H243" s="144" t="s">
        <v>259</v>
      </c>
      <c r="I243" s="140" t="s">
        <v>259</v>
      </c>
      <c r="J243" s="140" t="s">
        <v>26</v>
      </c>
      <c r="K243" s="135" t="str">
        <f>LEFT(Table_2[[#This Row],[Flt. ID]],2)&amp;RIGHT(Table_2[[#This Row],[Flt. ID]],3)</f>
        <v>UO675</v>
      </c>
      <c r="L243" s="131" t="str">
        <f>"H"&amp;ROW(Table_2[[#This Row],[A/C]])+1&amp;":H300"</f>
        <v>H244:H300</v>
      </c>
      <c r="M243" s="164">
        <f>IFERROR(
    IF(Table_2[[#This Row],[Arr/ Dep]]="A",
        IF(
            INDEX(B244:B488,MATCH(Table_2[[#This Row],[A/C]],H244:H488,0))
            - IF(Table_2[[#This Row],[ETA/ETD]]="",Table_2[[#This Row],[STA/STD]],Table_2[[#This Row],[ETA/ETD]]) &lt; 0,
            "ASAP",
            IF(Table_2[[#This Row],[ETA/ETD]]="",
                INDEX(B244:B488,MATCH(Table_2[[#This Row],[A/C]],H244:H488,0))-Table_2[[#This Row],[STA/STD]],
                INDEX(B244:B488,MATCH(Table_2[[#This Row],[A/C]],H244:H488,0))-Table_2[[#This Row],[ETA/ETD]])
        ),
        ""
    ),
"TBC")</f>
        <v>3.4722222189884633E-3</v>
      </c>
      <c r="N243" s="140" t="str" cm="1">
        <f t="array" ref="N24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3" s="135" t="str">
        <f>Table_2[[#This Row],[A/C]]&amp;Table_2[[#This Row],[Column2]]</f>
        <v>-UO675</v>
      </c>
      <c r="Q24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3" s="166" t="str">
        <f>IFERROR(Table_2[[#This Row],[UTC TIME]]-TIME(1,30,0),"")</f>
        <v/>
      </c>
      <c r="S243" s="138"/>
      <c r="T243" s="138"/>
    </row>
    <row r="244" spans="1:25" hidden="1">
      <c r="A244" s="140" t="s">
        <v>236</v>
      </c>
      <c r="B244" s="163">
        <v>46067.704861111109</v>
      </c>
      <c r="C244" s="163"/>
      <c r="D244" s="136" t="s">
        <v>259</v>
      </c>
      <c r="E244" s="140" t="s">
        <v>182</v>
      </c>
      <c r="F244" s="280" t="s">
        <v>183</v>
      </c>
      <c r="G244" s="280"/>
      <c r="H244" s="144" t="s">
        <v>259</v>
      </c>
      <c r="I244" s="140" t="s">
        <v>259</v>
      </c>
      <c r="J244" s="140" t="s">
        <v>26</v>
      </c>
      <c r="K244" s="135" t="str">
        <f>LEFT(Table_2[[#This Row],[Flt. ID]],2)&amp;RIGHT(Table_2[[#This Row],[Flt. ID]],3)</f>
        <v>UO113</v>
      </c>
      <c r="L244" s="131" t="str">
        <f>"H"&amp;ROW(Table_2[[#This Row],[A/C]])+1&amp;":H300"</f>
        <v>H245:H300</v>
      </c>
      <c r="M244" s="164">
        <f>IFERROR(
    IF(Table_2[[#This Row],[Arr/ Dep]]="A",
        IF(
            INDEX(B245:B489,MATCH(Table_2[[#This Row],[A/C]],H245:H489,0))
            - IF(Table_2[[#This Row],[ETA/ETD]]="",Table_2[[#This Row],[STA/STD]],Table_2[[#This Row],[ETA/ETD]]) &lt; 0,
            "ASAP",
            IF(Table_2[[#This Row],[ETA/ETD]]="",
                INDEX(B245:B489,MATCH(Table_2[[#This Row],[A/C]],H245:H489,0))-Table_2[[#This Row],[STA/STD]],
                INDEX(B245:B489,MATCH(Table_2[[#This Row],[A/C]],H245:H489,0))-Table_2[[#This Row],[ETA/ETD]])
        ),
        ""
    ),
"TBC")</f>
        <v>0</v>
      </c>
      <c r="N244" s="140" t="str" cm="1">
        <f t="array" ref="N24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4" s="135" t="str">
        <f>Table_2[[#This Row],[A/C]]&amp;Table_2[[#This Row],[Column2]]</f>
        <v>-UO113</v>
      </c>
      <c r="Q24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4" s="166" t="str">
        <f>IFERROR(Table_2[[#This Row],[UTC TIME]]-TIME(1,30,0),"")</f>
        <v/>
      </c>
      <c r="S244" s="167"/>
      <c r="T244" s="167"/>
      <c r="U244" s="133"/>
      <c r="V244" s="133"/>
    </row>
    <row r="245" spans="1:25" hidden="1">
      <c r="A245" s="140" t="s">
        <v>237</v>
      </c>
      <c r="B245" s="163">
        <v>46067.704861111109</v>
      </c>
      <c r="C245" s="163"/>
      <c r="D245" s="136" t="s">
        <v>259</v>
      </c>
      <c r="E245" s="140" t="s">
        <v>125</v>
      </c>
      <c r="F245" s="280" t="s">
        <v>126</v>
      </c>
      <c r="G245" s="280"/>
      <c r="H245" s="144" t="s">
        <v>259</v>
      </c>
      <c r="I245" s="140" t="s">
        <v>259</v>
      </c>
      <c r="J245" s="140" t="s">
        <v>42</v>
      </c>
      <c r="K245" s="135" t="str">
        <f>LEFT(Table_2[[#This Row],[Flt. ID]],2)&amp;RIGHT(Table_2[[#This Row],[Flt. ID]],3)</f>
        <v>UO702</v>
      </c>
      <c r="L245" s="131" t="str">
        <f>"H"&amp;ROW(Table_2[[#This Row],[A/C]])+1&amp;":H300"</f>
        <v>H246:H300</v>
      </c>
      <c r="M245" s="164" t="str">
        <f>IFERROR(
    IF(Table_2[[#This Row],[Arr/ Dep]]="A",
        IF(
            INDEX(B246:B490,MATCH(Table_2[[#This Row],[A/C]],H246:H490,0))
            - IF(Table_2[[#This Row],[ETA/ETD]]="",Table_2[[#This Row],[STA/STD]],Table_2[[#This Row],[ETA/ETD]]) &lt; 0,
            "ASAP",
            IF(Table_2[[#This Row],[ETA/ETD]]="",
                INDEX(B246:B490,MATCH(Table_2[[#This Row],[A/C]],H246:H490,0))-Table_2[[#This Row],[STA/STD]],
                INDEX(B246:B490,MATCH(Table_2[[#This Row],[A/C]],H246:H490,0))-Table_2[[#This Row],[ETA/ETD]])
        ),
        ""
    ),
"TBC")</f>
        <v/>
      </c>
      <c r="N245" s="140" t="str" cm="1">
        <f t="array" ref="N24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5" s="135" t="str">
        <f>Table_2[[#This Row],[A/C]]&amp;Table_2[[#This Row],[Column2]]</f>
        <v>-UO702</v>
      </c>
      <c r="Q24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5" s="166" t="str">
        <f>IFERROR(Table_2[[#This Row],[UTC TIME]]-TIME(1,30,0),"")</f>
        <v/>
      </c>
      <c r="S245" s="167"/>
      <c r="T245" s="167"/>
      <c r="U245" s="133"/>
      <c r="V245" s="133"/>
    </row>
    <row r="246" spans="1:25" hidden="1">
      <c r="A246" s="140" t="s">
        <v>239</v>
      </c>
      <c r="B246" s="163">
        <v>46067.722222222219</v>
      </c>
      <c r="C246" s="163"/>
      <c r="D246" s="136" t="s">
        <v>259</v>
      </c>
      <c r="E246" s="140" t="s">
        <v>128</v>
      </c>
      <c r="F246" s="280" t="s">
        <v>129</v>
      </c>
      <c r="G246" s="280"/>
      <c r="H246" s="144" t="s">
        <v>259</v>
      </c>
      <c r="I246" s="140" t="s">
        <v>259</v>
      </c>
      <c r="J246" s="140" t="s">
        <v>26</v>
      </c>
      <c r="K246" s="135" t="str">
        <f>LEFT(Table_2[[#This Row],[Flt. ID]],2)&amp;RIGHT(Table_2[[#This Row],[Flt. ID]],3)</f>
        <v>UO577</v>
      </c>
      <c r="L246" s="131" t="str">
        <f>"H"&amp;ROW(Table_2[[#This Row],[A/C]])+1&amp;":H300"</f>
        <v>H247:H300</v>
      </c>
      <c r="M246" s="164">
        <f>IFERROR(
    IF(Table_2[[#This Row],[Arr/ Dep]]="A",
        IF(
            INDEX(B247:B491,MATCH(Table_2[[#This Row],[A/C]],H247:H491,0))
            - IF(Table_2[[#This Row],[ETA/ETD]]="",Table_2[[#This Row],[STA/STD]],Table_2[[#This Row],[ETA/ETD]]) &lt; 0,
            "ASAP",
            IF(Table_2[[#This Row],[ETA/ETD]]="",
                INDEX(B247:B491,MATCH(Table_2[[#This Row],[A/C]],H247:H491,0))-Table_2[[#This Row],[STA/STD]],
                INDEX(B247:B491,MATCH(Table_2[[#This Row],[A/C]],H247:H491,0))-Table_2[[#This Row],[ETA/ETD]])
        ),
        ""
    ),
"TBC")</f>
        <v>3.4722222262644209E-3</v>
      </c>
      <c r="N246" s="140" t="str" cm="1">
        <f t="array" ref="N24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6" s="135" t="str">
        <f>Table_2[[#This Row],[A/C]]&amp;Table_2[[#This Row],[Column2]]</f>
        <v>-UO577</v>
      </c>
      <c r="Q24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6" s="166" t="str">
        <f>IFERROR(Table_2[[#This Row],[UTC TIME]]-TIME(1,30,0),"")</f>
        <v/>
      </c>
      <c r="S246" s="138"/>
      <c r="T246" s="138"/>
    </row>
    <row r="247" spans="1:25" hidden="1">
      <c r="A247" s="140" t="s">
        <v>242</v>
      </c>
      <c r="B247" s="163">
        <v>46067.725694444445</v>
      </c>
      <c r="C247" s="163"/>
      <c r="D247" s="136" t="s">
        <v>259</v>
      </c>
      <c r="E247" s="140" t="s">
        <v>71</v>
      </c>
      <c r="F247" s="280" t="s">
        <v>72</v>
      </c>
      <c r="G247" s="280"/>
      <c r="H247" s="144" t="s">
        <v>259</v>
      </c>
      <c r="I247" s="140" t="s">
        <v>259</v>
      </c>
      <c r="J247" s="140" t="s">
        <v>42</v>
      </c>
      <c r="K247" s="135" t="str">
        <f>LEFT(Table_2[[#This Row],[Flt. ID]],2)&amp;RIGHT(Table_2[[#This Row],[Flt. ID]],3)</f>
        <v>UO514</v>
      </c>
      <c r="L247" s="131" t="str">
        <f>"H"&amp;ROW(Table_2[[#This Row],[A/C]])+1&amp;":H300"</f>
        <v>H248:H300</v>
      </c>
      <c r="M247" s="164" t="str">
        <f>IFERROR(
    IF(Table_2[[#This Row],[Arr/ Dep]]="A",
        IF(
            INDEX(B248:B492,MATCH(Table_2[[#This Row],[A/C]],H248:H492,0))
            - IF(Table_2[[#This Row],[ETA/ETD]]="",Table_2[[#This Row],[STA/STD]],Table_2[[#This Row],[ETA/ETD]]) &lt; 0,
            "ASAP",
            IF(Table_2[[#This Row],[ETA/ETD]]="",
                INDEX(B248:B492,MATCH(Table_2[[#This Row],[A/C]],H248:H492,0))-Table_2[[#This Row],[STA/STD]],
                INDEX(B248:B492,MATCH(Table_2[[#This Row],[A/C]],H248:H492,0))-Table_2[[#This Row],[ETA/ETD]])
        ),
        ""
    ),
"TBC")</f>
        <v/>
      </c>
      <c r="N247" s="140" t="str" cm="1">
        <f t="array" ref="N24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7" s="135" t="str">
        <f>Table_2[[#This Row],[A/C]]&amp;Table_2[[#This Row],[Column2]]</f>
        <v>-UO514</v>
      </c>
      <c r="Q24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7" s="166" t="str">
        <f>IFERROR(Table_2[[#This Row],[UTC TIME]]-TIME(1,30,0),"")</f>
        <v/>
      </c>
      <c r="S247" s="167"/>
      <c r="T247" s="167"/>
      <c r="U247" s="179"/>
      <c r="V247" s="179"/>
      <c r="W247" s="179"/>
      <c r="X247" s="179"/>
      <c r="Y247" s="179"/>
    </row>
    <row r="248" spans="1:25" hidden="1">
      <c r="A248" s="140" t="s">
        <v>243</v>
      </c>
      <c r="B248" s="163">
        <v>46067.746527777781</v>
      </c>
      <c r="C248" s="163"/>
      <c r="D248" s="136" t="s">
        <v>259</v>
      </c>
      <c r="E248" s="140" t="s">
        <v>66</v>
      </c>
      <c r="F248" s="280" t="s">
        <v>67</v>
      </c>
      <c r="G248" s="280"/>
      <c r="H248" s="144" t="s">
        <v>259</v>
      </c>
      <c r="I248" s="140" t="s">
        <v>259</v>
      </c>
      <c r="J248" s="140" t="s">
        <v>42</v>
      </c>
      <c r="K248" s="135" t="str">
        <f>LEFT(Table_2[[#This Row],[Flt. ID]],2)&amp;RIGHT(Table_2[[#This Row],[Flt. ID]],3)</f>
        <v>UO622</v>
      </c>
      <c r="L248" s="131" t="str">
        <f>"H"&amp;ROW(Table_2[[#This Row],[A/C]])+1&amp;":H300"</f>
        <v>H249:H300</v>
      </c>
      <c r="M248" s="164" t="str">
        <f>IFERROR(
    IF(Table_2[[#This Row],[Arr/ Dep]]="A",
        IF(
            INDEX(B249:B493,MATCH(Table_2[[#This Row],[A/C]],H249:H493,0))
            - IF(Table_2[[#This Row],[ETA/ETD]]="",Table_2[[#This Row],[STA/STD]],Table_2[[#This Row],[ETA/ETD]]) &lt; 0,
            "ASAP",
            IF(Table_2[[#This Row],[ETA/ETD]]="",
                INDEX(B249:B493,MATCH(Table_2[[#This Row],[A/C]],H249:H493,0))-Table_2[[#This Row],[STA/STD]],
                INDEX(B249:B493,MATCH(Table_2[[#This Row],[A/C]],H249:H493,0))-Table_2[[#This Row],[ETA/ETD]])
        ),
        ""
    ),
"TBC")</f>
        <v/>
      </c>
      <c r="N248" s="140" t="str" cm="1">
        <f t="array" ref="N24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8" s="135" t="str">
        <f>Table_2[[#This Row],[A/C]]&amp;Table_2[[#This Row],[Column2]]</f>
        <v>-UO622</v>
      </c>
      <c r="Q24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8" s="166" t="str">
        <f>IFERROR(Table_2[[#This Row],[UTC TIME]]-TIME(1,30,0),"")</f>
        <v/>
      </c>
      <c r="S248" s="167"/>
      <c r="T248" s="167"/>
      <c r="U248" s="133"/>
      <c r="V248" s="133"/>
    </row>
    <row r="249" spans="1:25" hidden="1">
      <c r="A249" s="140" t="s">
        <v>244</v>
      </c>
      <c r="B249" s="163">
        <v>46067.75</v>
      </c>
      <c r="C249" s="163"/>
      <c r="D249" s="136" t="s">
        <v>259</v>
      </c>
      <c r="E249" s="140" t="s">
        <v>149</v>
      </c>
      <c r="F249" s="280" t="s">
        <v>150</v>
      </c>
      <c r="G249" s="280"/>
      <c r="H249" s="144" t="s">
        <v>259</v>
      </c>
      <c r="I249" s="140" t="s">
        <v>259</v>
      </c>
      <c r="J249" s="140" t="s">
        <v>26</v>
      </c>
      <c r="K249" s="135" t="str">
        <f>LEFT(Table_2[[#This Row],[Flt. ID]],2)&amp;RIGHT(Table_2[[#This Row],[Flt. ID]],3)</f>
        <v>UO643</v>
      </c>
      <c r="L249" s="131" t="str">
        <f>"H"&amp;ROW(Table_2[[#This Row],[A/C]])+1&amp;":H300"</f>
        <v>H250:H300</v>
      </c>
      <c r="M249" s="164">
        <f>IFERROR(
    IF(Table_2[[#This Row],[Arr/ Dep]]="A",
        IF(
            INDEX(B250:B494,MATCH(Table_2[[#This Row],[A/C]],H250:H494,0))
            - IF(Table_2[[#This Row],[ETA/ETD]]="",Table_2[[#This Row],[STA/STD]],Table_2[[#This Row],[ETA/ETD]]) &lt; 0,
            "ASAP",
            IF(Table_2[[#This Row],[ETA/ETD]]="",
                INDEX(B250:B494,MATCH(Table_2[[#This Row],[A/C]],H250:H494,0))-Table_2[[#This Row],[STA/STD]],
                INDEX(B250:B494,MATCH(Table_2[[#This Row],[A/C]],H250:H494,0))-Table_2[[#This Row],[ETA/ETD]])
        ),
        ""
    ),
"TBC")</f>
        <v>0</v>
      </c>
      <c r="N249" s="140" t="str" cm="1">
        <f t="array" ref="N24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4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49" s="135" t="str">
        <f>Table_2[[#This Row],[A/C]]&amp;Table_2[[#This Row],[Column2]]</f>
        <v>-UO643</v>
      </c>
      <c r="Q24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49" s="166" t="str">
        <f>IFERROR(Table_2[[#This Row],[UTC TIME]]-TIME(1,30,0),"")</f>
        <v/>
      </c>
      <c r="S249" s="167"/>
      <c r="T249" s="167"/>
      <c r="U249" s="133"/>
      <c r="V249" s="133"/>
    </row>
    <row r="250" spans="1:25" hidden="1">
      <c r="A250" s="140" t="s">
        <v>245</v>
      </c>
      <c r="B250" s="163">
        <v>46067.75</v>
      </c>
      <c r="C250" s="163"/>
      <c r="D250" s="136" t="s">
        <v>259</v>
      </c>
      <c r="E250" s="140" t="s">
        <v>22</v>
      </c>
      <c r="F250" s="280" t="s">
        <v>23</v>
      </c>
      <c r="G250" s="280"/>
      <c r="H250" s="144" t="s">
        <v>259</v>
      </c>
      <c r="I250" s="140" t="s">
        <v>259</v>
      </c>
      <c r="J250" s="140" t="s">
        <v>26</v>
      </c>
      <c r="K250" s="135" t="str">
        <f>LEFT(Table_2[[#This Row],[Flt. ID]],2)&amp;RIGHT(Table_2[[#This Row],[Flt. ID]],3)</f>
        <v>UO687</v>
      </c>
      <c r="L250" s="131" t="str">
        <f>"H"&amp;ROW(Table_2[[#This Row],[A/C]])+1&amp;":H300"</f>
        <v>H251:H300</v>
      </c>
      <c r="M250" s="164">
        <f>IFERROR(
    IF(Table_2[[#This Row],[Arr/ Dep]]="A",
        IF(
            INDEX(B251:B495,MATCH(Table_2[[#This Row],[A/C]],H251:H495,0))
            - IF(Table_2[[#This Row],[ETA/ETD]]="",Table_2[[#This Row],[STA/STD]],Table_2[[#This Row],[ETA/ETD]]) &lt; 0,
            "ASAP",
            IF(Table_2[[#This Row],[ETA/ETD]]="",
                INDEX(B251:B495,MATCH(Table_2[[#This Row],[A/C]],H251:H495,0))-Table_2[[#This Row],[STA/STD]],
                INDEX(B251:B495,MATCH(Table_2[[#This Row],[A/C]],H251:H495,0))-Table_2[[#This Row],[ETA/ETD]])
        ),
        ""
    ),
"TBC")</f>
        <v>0</v>
      </c>
      <c r="N250" s="140" t="str" cm="1">
        <f t="array" ref="N25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0" s="135" t="str">
        <f>Table_2[[#This Row],[A/C]]&amp;Table_2[[#This Row],[Column2]]</f>
        <v>-UO687</v>
      </c>
      <c r="Q25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0" s="166" t="str">
        <f>IFERROR(Table_2[[#This Row],[UTC TIME]]-TIME(1,30,0),"")</f>
        <v/>
      </c>
      <c r="S250" s="167"/>
      <c r="T250" s="167"/>
      <c r="U250" s="133"/>
      <c r="V250" s="133"/>
    </row>
    <row r="251" spans="1:25" hidden="1">
      <c r="A251" s="140" t="s">
        <v>326</v>
      </c>
      <c r="B251" s="163">
        <v>46067.75</v>
      </c>
      <c r="C251" s="163"/>
      <c r="D251" s="136" t="s">
        <v>259</v>
      </c>
      <c r="E251" s="140" t="s">
        <v>310</v>
      </c>
      <c r="F251" s="280" t="s">
        <v>311</v>
      </c>
      <c r="G251" s="280"/>
      <c r="H251" s="144" t="s">
        <v>259</v>
      </c>
      <c r="I251" s="140" t="s">
        <v>259</v>
      </c>
      <c r="J251" s="140" t="s">
        <v>26</v>
      </c>
      <c r="K251" s="135" t="str">
        <f>LEFT(Table_2[[#This Row],[Flt. ID]],2)&amp;RIGHT(Table_2[[#This Row],[Flt. ID]],3)</f>
        <v>UO823</v>
      </c>
      <c r="L251" s="131" t="str">
        <f>"H"&amp;ROW(Table_2[[#This Row],[A/C]])+1&amp;":H300"</f>
        <v>H252:H300</v>
      </c>
      <c r="M251" s="164">
        <f>IFERROR(
    IF(Table_2[[#This Row],[Arr/ Dep]]="A",
        IF(
            INDEX(B252:B496,MATCH(Table_2[[#This Row],[A/C]],H252:H496,0))
            - IF(Table_2[[#This Row],[ETA/ETD]]="",Table_2[[#This Row],[STA/STD]],Table_2[[#This Row],[ETA/ETD]]) &lt; 0,
            "ASAP",
            IF(Table_2[[#This Row],[ETA/ETD]]="",
                INDEX(B252:B496,MATCH(Table_2[[#This Row],[A/C]],H252:H496,0))-Table_2[[#This Row],[STA/STD]],
                INDEX(B252:B496,MATCH(Table_2[[#This Row],[A/C]],H252:H496,0))-Table_2[[#This Row],[ETA/ETD]])
        ),
        ""
    ),
"TBC")</f>
        <v>1.0416666664241347E-2</v>
      </c>
      <c r="N251" s="140" t="str" cm="1">
        <f t="array" ref="N25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1" s="135" t="str">
        <f>Table_2[[#This Row],[A/C]]&amp;Table_2[[#This Row],[Column2]]</f>
        <v>-UO823</v>
      </c>
      <c r="Q25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1" s="166" t="str">
        <f>IFERROR(Table_2[[#This Row],[UTC TIME]]-TIME(1,30,0),"")</f>
        <v/>
      </c>
      <c r="S251" s="167"/>
      <c r="T251" s="167"/>
      <c r="U251" s="173"/>
      <c r="V251" s="173"/>
      <c r="W251" s="173"/>
      <c r="X251" s="173"/>
      <c r="Y251" s="173"/>
    </row>
    <row r="252" spans="1:25" hidden="1">
      <c r="A252" s="140" t="s">
        <v>249</v>
      </c>
      <c r="B252" s="163">
        <v>46067.760416666664</v>
      </c>
      <c r="C252" s="163"/>
      <c r="D252" s="136" t="s">
        <v>259</v>
      </c>
      <c r="E252" s="140" t="s">
        <v>111</v>
      </c>
      <c r="F252" s="280" t="s">
        <v>112</v>
      </c>
      <c r="G252" s="280"/>
      <c r="H252" s="144" t="s">
        <v>259</v>
      </c>
      <c r="I252" s="140" t="s">
        <v>259</v>
      </c>
      <c r="J252" s="140" t="s">
        <v>42</v>
      </c>
      <c r="K252" s="135" t="str">
        <f>LEFT(Table_2[[#This Row],[Flt. ID]],2)&amp;RIGHT(Table_2[[#This Row],[Flt. ID]],3)</f>
        <v>UO182</v>
      </c>
      <c r="L252" s="131" t="str">
        <f>"H"&amp;ROW(Table_2[[#This Row],[A/C]])+1&amp;":H300"</f>
        <v>H253:H300</v>
      </c>
      <c r="M252" s="164" t="str">
        <f>IFERROR(
    IF(Table_2[[#This Row],[Arr/ Dep]]="A",
        IF(
            INDEX(B253:B497,MATCH(Table_2[[#This Row],[A/C]],H253:H497,0))
            - IF(Table_2[[#This Row],[ETA/ETD]]="",Table_2[[#This Row],[STA/STD]],Table_2[[#This Row],[ETA/ETD]]) &lt; 0,
            "ASAP",
            IF(Table_2[[#This Row],[ETA/ETD]]="",
                INDEX(B253:B497,MATCH(Table_2[[#This Row],[A/C]],H253:H497,0))-Table_2[[#This Row],[STA/STD]],
                INDEX(B253:B497,MATCH(Table_2[[#This Row],[A/C]],H253:H497,0))-Table_2[[#This Row],[ETA/ETD]])
        ),
        ""
    ),
"TBC")</f>
        <v/>
      </c>
      <c r="N252" s="140" t="str" cm="1">
        <f t="array" ref="N25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2" s="135" t="str">
        <f>Table_2[[#This Row],[A/C]]&amp;Table_2[[#This Row],[Column2]]</f>
        <v>-UO182</v>
      </c>
      <c r="Q25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2" s="166" t="str">
        <f>IFERROR(Table_2[[#This Row],[UTC TIME]]-TIME(1,30,0),"")</f>
        <v/>
      </c>
      <c r="S252" s="138"/>
      <c r="T252" s="138"/>
    </row>
    <row r="253" spans="1:25" hidden="1">
      <c r="A253" s="140" t="s">
        <v>250</v>
      </c>
      <c r="B253" s="163">
        <v>46067.78125</v>
      </c>
      <c r="C253" s="163"/>
      <c r="D253" s="136" t="s">
        <v>259</v>
      </c>
      <c r="E253" s="140" t="s">
        <v>203</v>
      </c>
      <c r="F253" s="280" t="s">
        <v>204</v>
      </c>
      <c r="G253" s="280"/>
      <c r="H253" s="144" t="s">
        <v>259</v>
      </c>
      <c r="I253" s="140" t="s">
        <v>259</v>
      </c>
      <c r="J253" s="140" t="s">
        <v>26</v>
      </c>
      <c r="K253" s="135" t="str">
        <f>LEFT(Table_2[[#This Row],[Flt. ID]],2)&amp;RIGHT(Table_2[[#This Row],[Flt. ID]],3)</f>
        <v>UO213</v>
      </c>
      <c r="L253" s="131" t="str">
        <f>"H"&amp;ROW(Table_2[[#This Row],[A/C]])+1&amp;":H300"</f>
        <v>H254:H300</v>
      </c>
      <c r="M253" s="164">
        <f>IFERROR(
    IF(Table_2[[#This Row],[Arr/ Dep]]="A",
        IF(
            INDEX(B254:B498,MATCH(Table_2[[#This Row],[A/C]],H254:H498,0))
            - IF(Table_2[[#This Row],[ETA/ETD]]="",Table_2[[#This Row],[STA/STD]],Table_2[[#This Row],[ETA/ETD]]) &lt; 0,
            "ASAP",
            IF(Table_2[[#This Row],[ETA/ETD]]="",
                INDEX(B254:B498,MATCH(Table_2[[#This Row],[A/C]],H254:H498,0))-Table_2[[#This Row],[STA/STD]],
                INDEX(B254:B498,MATCH(Table_2[[#This Row],[A/C]],H254:H498,0))-Table_2[[#This Row],[ETA/ETD]])
        ),
        ""
    ),
"TBC")</f>
        <v>3.4722222189884633E-3</v>
      </c>
      <c r="N253" s="140" t="str" cm="1">
        <f t="array" ref="N25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3" s="135" t="str">
        <f>Table_2[[#This Row],[A/C]]&amp;Table_2[[#This Row],[Column2]]</f>
        <v>-UO213</v>
      </c>
      <c r="Q25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3" s="166" t="str">
        <f>IFERROR(Table_2[[#This Row],[UTC TIME]]-TIME(1,30,0),"")</f>
        <v/>
      </c>
      <c r="S253" s="167"/>
      <c r="T253" s="167"/>
    </row>
    <row r="254" spans="1:25" hidden="1">
      <c r="A254" s="140" t="s">
        <v>252</v>
      </c>
      <c r="B254" s="163">
        <v>46067.784722222219</v>
      </c>
      <c r="C254" s="163"/>
      <c r="D254" s="136" t="s">
        <v>259</v>
      </c>
      <c r="E254" s="140" t="s">
        <v>182</v>
      </c>
      <c r="F254" s="280" t="s">
        <v>183</v>
      </c>
      <c r="G254" s="280"/>
      <c r="H254" s="144" t="s">
        <v>259</v>
      </c>
      <c r="I254" s="140" t="s">
        <v>259</v>
      </c>
      <c r="J254" s="140" t="s">
        <v>42</v>
      </c>
      <c r="K254" s="135" t="str">
        <f>LEFT(Table_2[[#This Row],[Flt. ID]],2)&amp;RIGHT(Table_2[[#This Row],[Flt. ID]],3)</f>
        <v>UO116</v>
      </c>
      <c r="L254" s="131" t="str">
        <f>"H"&amp;ROW(Table_2[[#This Row],[A/C]])+1&amp;":H300"</f>
        <v>H255:H300</v>
      </c>
      <c r="M254" s="164" t="str">
        <f>IFERROR(
    IF(Table_2[[#This Row],[Arr/ Dep]]="A",
        IF(
            INDEX(B255:B499,MATCH(Table_2[[#This Row],[A/C]],H255:H499,0))
            - IF(Table_2[[#This Row],[ETA/ETD]]="",Table_2[[#This Row],[STA/STD]],Table_2[[#This Row],[ETA/ETD]]) &lt; 0,
            "ASAP",
            IF(Table_2[[#This Row],[ETA/ETD]]="",
                INDEX(B255:B499,MATCH(Table_2[[#This Row],[A/C]],H255:H499,0))-Table_2[[#This Row],[STA/STD]],
                INDEX(B255:B499,MATCH(Table_2[[#This Row],[A/C]],H255:H499,0))-Table_2[[#This Row],[ETA/ETD]])
        ),
        ""
    ),
"TBC")</f>
        <v/>
      </c>
      <c r="N254" s="140" t="str" cm="1">
        <f t="array" ref="N25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4" s="135" t="str">
        <f>Table_2[[#This Row],[A/C]]&amp;Table_2[[#This Row],[Column2]]</f>
        <v>-UO116</v>
      </c>
      <c r="Q25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4" s="166" t="str">
        <f>IFERROR(Table_2[[#This Row],[UTC TIME]]-TIME(1,30,0),"")</f>
        <v/>
      </c>
      <c r="S254" s="167"/>
      <c r="T254" s="167"/>
      <c r="U254" s="133"/>
      <c r="V254" s="133"/>
    </row>
    <row r="255" spans="1:25" hidden="1">
      <c r="A255" s="140" t="s">
        <v>327</v>
      </c>
      <c r="B255" s="163">
        <v>46067.784722222219</v>
      </c>
      <c r="C255" s="163"/>
      <c r="D255" s="136" t="s">
        <v>259</v>
      </c>
      <c r="E255" s="140" t="s">
        <v>133</v>
      </c>
      <c r="F255" s="280" t="s">
        <v>134</v>
      </c>
      <c r="G255" s="280"/>
      <c r="H255" s="144" t="s">
        <v>259</v>
      </c>
      <c r="I255" s="140" t="s">
        <v>259</v>
      </c>
      <c r="J255" s="140" t="s">
        <v>42</v>
      </c>
      <c r="K255" s="135" t="str">
        <f>LEFT(Table_2[[#This Row],[Flt. ID]],2)&amp;RIGHT(Table_2[[#This Row],[Flt. ID]],3)</f>
        <v>UO124</v>
      </c>
      <c r="L255" s="131" t="str">
        <f>"H"&amp;ROW(Table_2[[#This Row],[A/C]])+1&amp;":H300"</f>
        <v>H256:H300</v>
      </c>
      <c r="M255" s="164" t="str">
        <f>IFERROR(
    IF(Table_2[[#This Row],[Arr/ Dep]]="A",
        IF(
            INDEX(B256:B500,MATCH(Table_2[[#This Row],[A/C]],H256:H500,0))
            - IF(Table_2[[#This Row],[ETA/ETD]]="",Table_2[[#This Row],[STA/STD]],Table_2[[#This Row],[ETA/ETD]]) &lt; 0,
            "ASAP",
            IF(Table_2[[#This Row],[ETA/ETD]]="",
                INDEX(B256:B500,MATCH(Table_2[[#This Row],[A/C]],H256:H500,0))-Table_2[[#This Row],[STA/STD]],
                INDEX(B256:B500,MATCH(Table_2[[#This Row],[A/C]],H256:H500,0))-Table_2[[#This Row],[ETA/ETD]])
        ),
        ""
    ),
"TBC")</f>
        <v/>
      </c>
      <c r="N255" s="140" t="str" cm="1">
        <f t="array" ref="N25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5" s="135" t="str">
        <f>Table_2[[#This Row],[A/C]]&amp;Table_2[[#This Row],[Column2]]</f>
        <v>-UO124</v>
      </c>
      <c r="Q25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5" s="166" t="str">
        <f>IFERROR(Table_2[[#This Row],[UTC TIME]]-TIME(1,30,0),"")</f>
        <v/>
      </c>
      <c r="S255" s="167"/>
      <c r="T255" s="167"/>
    </row>
    <row r="256" spans="1:25" hidden="1">
      <c r="A256" s="140" t="s">
        <v>253</v>
      </c>
      <c r="B256" s="163">
        <v>46067.791666666664</v>
      </c>
      <c r="C256" s="163"/>
      <c r="D256" s="136" t="s">
        <v>259</v>
      </c>
      <c r="E256" s="140" t="s">
        <v>38</v>
      </c>
      <c r="F256" s="280" t="s">
        <v>39</v>
      </c>
      <c r="G256" s="280"/>
      <c r="H256" s="144" t="s">
        <v>259</v>
      </c>
      <c r="I256" s="140" t="s">
        <v>259</v>
      </c>
      <c r="J256" s="140" t="s">
        <v>26</v>
      </c>
      <c r="K256" s="135" t="str">
        <f>LEFT(Table_2[[#This Row],[Flt. ID]],2)&amp;RIGHT(Table_2[[#This Row],[Flt. ID]],3)</f>
        <v>UO631</v>
      </c>
      <c r="L256" s="131" t="str">
        <f>"H"&amp;ROW(Table_2[[#This Row],[A/C]])+1&amp;":H300"</f>
        <v>H257:H300</v>
      </c>
      <c r="M256" s="164">
        <f>IFERROR(
    IF(Table_2[[#This Row],[Arr/ Dep]]="A",
        IF(
            INDEX(B257:B501,MATCH(Table_2[[#This Row],[A/C]],H257:H501,0))
            - IF(Table_2[[#This Row],[ETA/ETD]]="",Table_2[[#This Row],[STA/STD]],Table_2[[#This Row],[ETA/ETD]]) &lt; 0,
            "ASAP",
            IF(Table_2[[#This Row],[ETA/ETD]]="",
                INDEX(B257:B501,MATCH(Table_2[[#This Row],[A/C]],H257:H501,0))-Table_2[[#This Row],[STA/STD]],
                INDEX(B257:B501,MATCH(Table_2[[#This Row],[A/C]],H257:H501,0))-Table_2[[#This Row],[ETA/ETD]])
        ),
        ""
    ),
"TBC")</f>
        <v>0</v>
      </c>
      <c r="N256" s="140" t="str" cm="1">
        <f t="array" ref="N25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6" s="135" t="str">
        <f>Table_2[[#This Row],[A/C]]&amp;Table_2[[#This Row],[Column2]]</f>
        <v>-UO631</v>
      </c>
      <c r="Q25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6" s="166" t="str">
        <f>IFERROR(Table_2[[#This Row],[UTC TIME]]-TIME(1,30,0),"")</f>
        <v/>
      </c>
      <c r="S256" s="138"/>
      <c r="T256" s="138"/>
    </row>
    <row r="257" spans="1:22" hidden="1">
      <c r="A257" s="140" t="s">
        <v>254</v>
      </c>
      <c r="B257" s="163">
        <v>46067.791666666664</v>
      </c>
      <c r="C257" s="163"/>
      <c r="D257" s="136" t="s">
        <v>259</v>
      </c>
      <c r="E257" s="140" t="s">
        <v>22</v>
      </c>
      <c r="F257" s="280" t="s">
        <v>23</v>
      </c>
      <c r="G257" s="280"/>
      <c r="H257" s="144" t="s">
        <v>259</v>
      </c>
      <c r="I257" s="140" t="s">
        <v>259</v>
      </c>
      <c r="J257" s="140" t="s">
        <v>26</v>
      </c>
      <c r="K257" s="135" t="str">
        <f>LEFT(Table_2[[#This Row],[Flt. ID]],2)&amp;RIGHT(Table_2[[#This Row],[Flt. ID]],3)</f>
        <v>UO851</v>
      </c>
      <c r="L257" s="131" t="str">
        <f>"H"&amp;ROW(Table_2[[#This Row],[A/C]])+1&amp;":H300"</f>
        <v>H258:H300</v>
      </c>
      <c r="M257" s="164">
        <f>IFERROR(
    IF(Table_2[[#This Row],[Arr/ Dep]]="A",
        IF(
            INDEX(B258:B502,MATCH(Table_2[[#This Row],[A/C]],H258:H502,0))
            - IF(Table_2[[#This Row],[ETA/ETD]]="",Table_2[[#This Row],[STA/STD]],Table_2[[#This Row],[ETA/ETD]]) &lt; 0,
            "ASAP",
            IF(Table_2[[#This Row],[ETA/ETD]]="",
                INDEX(B258:B502,MATCH(Table_2[[#This Row],[A/C]],H258:H502,0))-Table_2[[#This Row],[STA/STD]],
                INDEX(B258:B502,MATCH(Table_2[[#This Row],[A/C]],H258:H502,0))-Table_2[[#This Row],[ETA/ETD]])
        ),
        ""
    ),
"TBC")</f>
        <v>3.4722222262644209E-3</v>
      </c>
      <c r="N257" s="140" t="str" cm="1">
        <f t="array" ref="N25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7" s="135" t="str">
        <f>Table_2[[#This Row],[A/C]]&amp;Table_2[[#This Row],[Column2]]</f>
        <v>-UO851</v>
      </c>
      <c r="Q25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7" s="166" t="str">
        <f>IFERROR(Table_2[[#This Row],[UTC TIME]]-TIME(1,30,0),"")</f>
        <v/>
      </c>
      <c r="S257" s="167"/>
      <c r="T257" s="167"/>
      <c r="U257" s="133"/>
      <c r="V257" s="133"/>
    </row>
    <row r="258" spans="1:22" hidden="1">
      <c r="A258" s="140" t="s">
        <v>255</v>
      </c>
      <c r="B258" s="163">
        <v>46067.795138888891</v>
      </c>
      <c r="C258" s="163"/>
      <c r="D258" s="136" t="s">
        <v>259</v>
      </c>
      <c r="E258" s="140" t="s">
        <v>122</v>
      </c>
      <c r="F258" s="280" t="s">
        <v>123</v>
      </c>
      <c r="G258" s="280"/>
      <c r="H258" s="144" t="s">
        <v>259</v>
      </c>
      <c r="I258" s="140" t="s">
        <v>259</v>
      </c>
      <c r="J258" s="140" t="s">
        <v>26</v>
      </c>
      <c r="K258" s="135" t="str">
        <f>LEFT(Table_2[[#This Row],[Flt. ID]],2)&amp;RIGHT(Table_2[[#This Row],[Flt. ID]],3)</f>
        <v>UO669</v>
      </c>
      <c r="L258" s="131" t="str">
        <f>"H"&amp;ROW(Table_2[[#This Row],[A/C]])+1&amp;":H300"</f>
        <v>H259:H300</v>
      </c>
      <c r="M258" s="164">
        <f>IFERROR(
    IF(Table_2[[#This Row],[Arr/ Dep]]="A",
        IF(
            INDEX(B259:B503,MATCH(Table_2[[#This Row],[A/C]],H259:H503,0))
            - IF(Table_2[[#This Row],[ETA/ETD]]="",Table_2[[#This Row],[STA/STD]],Table_2[[#This Row],[ETA/ETD]]) &lt; 0,
            "ASAP",
            IF(Table_2[[#This Row],[ETA/ETD]]="",
                INDEX(B259:B503,MATCH(Table_2[[#This Row],[A/C]],H259:H503,0))-Table_2[[#This Row],[STA/STD]],
                INDEX(B259:B503,MATCH(Table_2[[#This Row],[A/C]],H259:H503,0))-Table_2[[#This Row],[ETA/ETD]])
        ),
        ""
    ),
"TBC")</f>
        <v>6.9444444452528842E-3</v>
      </c>
      <c r="N258" s="140" t="str" cm="1">
        <f t="array" ref="N25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8" s="135" t="str">
        <f>Table_2[[#This Row],[A/C]]&amp;Table_2[[#This Row],[Column2]]</f>
        <v>-UO669</v>
      </c>
      <c r="Q25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8" s="166" t="str">
        <f>IFERROR(Table_2[[#This Row],[UTC TIME]]-TIME(1,30,0),"")</f>
        <v/>
      </c>
      <c r="S258" s="167"/>
      <c r="T258" s="167"/>
      <c r="U258" s="133"/>
      <c r="V258" s="133"/>
    </row>
    <row r="259" spans="1:22" hidden="1">
      <c r="A259" s="140" t="s">
        <v>256</v>
      </c>
      <c r="B259" s="163">
        <v>46067.802083333336</v>
      </c>
      <c r="C259" s="163"/>
      <c r="D259" s="136" t="s">
        <v>259</v>
      </c>
      <c r="E259" s="140" t="s">
        <v>33</v>
      </c>
      <c r="F259" s="280" t="s">
        <v>34</v>
      </c>
      <c r="G259" s="280"/>
      <c r="H259" s="144" t="s">
        <v>259</v>
      </c>
      <c r="I259" s="140" t="s">
        <v>259</v>
      </c>
      <c r="J259" s="140" t="s">
        <v>26</v>
      </c>
      <c r="K259" s="135" t="str">
        <f>LEFT(Table_2[[#This Row],[Flt. ID]],2)&amp;RIGHT(Table_2[[#This Row],[Flt. ID]],3)</f>
        <v>UO681</v>
      </c>
      <c r="L259" s="131" t="str">
        <f>"H"&amp;ROW(Table_2[[#This Row],[A/C]])+1&amp;":H300"</f>
        <v>H260:H300</v>
      </c>
      <c r="M259" s="164">
        <f>IFERROR(
    IF(Table_2[[#This Row],[Arr/ Dep]]="A",
        IF(
            INDEX(B260:B504,MATCH(Table_2[[#This Row],[A/C]],H260:H504,0))
            - IF(Table_2[[#This Row],[ETA/ETD]]="",Table_2[[#This Row],[STA/STD]],Table_2[[#This Row],[ETA/ETD]]) &lt; 0,
            "ASAP",
            IF(Table_2[[#This Row],[ETA/ETD]]="",
                INDEX(B260:B504,MATCH(Table_2[[#This Row],[A/C]],H260:H504,0))-Table_2[[#This Row],[STA/STD]],
                INDEX(B260:B504,MATCH(Table_2[[#This Row],[A/C]],H260:H504,0))-Table_2[[#This Row],[ETA/ETD]])
        ),
        ""
    ),
"TBC")</f>
        <v>1.0416666664241347E-2</v>
      </c>
      <c r="N259" s="140" t="str" cm="1">
        <f t="array" ref="N25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5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59" s="135" t="str">
        <f>Table_2[[#This Row],[A/C]]&amp;Table_2[[#This Row],[Column2]]</f>
        <v>-UO681</v>
      </c>
      <c r="Q25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59" s="166" t="str">
        <f>IFERROR(Table_2[[#This Row],[UTC TIME]]-TIME(1,30,0),"")</f>
        <v/>
      </c>
      <c r="S259" s="167"/>
      <c r="T259" s="167"/>
      <c r="U259" s="133"/>
      <c r="V259" s="133"/>
    </row>
    <row r="260" spans="1:22" hidden="1">
      <c r="A260" s="140" t="s">
        <v>328</v>
      </c>
      <c r="B260" s="163">
        <v>46067.8125</v>
      </c>
      <c r="C260" s="163"/>
      <c r="D260" s="136" t="s">
        <v>259</v>
      </c>
      <c r="E260" s="140" t="s">
        <v>307</v>
      </c>
      <c r="F260" s="280" t="s">
        <v>308</v>
      </c>
      <c r="G260" s="280"/>
      <c r="H260" s="144" t="s">
        <v>259</v>
      </c>
      <c r="I260" s="140" t="s">
        <v>259</v>
      </c>
      <c r="J260" s="140" t="s">
        <v>26</v>
      </c>
      <c r="K260" s="135" t="str">
        <f>LEFT(Table_2[[#This Row],[Flt. ID]],2)&amp;RIGHT(Table_2[[#This Row],[Flt. ID]],3)</f>
        <v>UO891</v>
      </c>
      <c r="L260" s="131" t="str">
        <f>"H"&amp;ROW(Table_2[[#This Row],[A/C]])+1&amp;":H300"</f>
        <v>H261:H300</v>
      </c>
      <c r="M260" s="164">
        <f>IFERROR(
    IF(Table_2[[#This Row],[Arr/ Dep]]="A",
        IF(
            INDEX(B261:B505,MATCH(Table_2[[#This Row],[A/C]],H261:H505,0))
            - IF(Table_2[[#This Row],[ETA/ETD]]="",Table_2[[#This Row],[STA/STD]],Table_2[[#This Row],[ETA/ETD]]) &lt; 0,
            "ASAP",
            IF(Table_2[[#This Row],[ETA/ETD]]="",
                INDEX(B261:B505,MATCH(Table_2[[#This Row],[A/C]],H261:H505,0))-Table_2[[#This Row],[STA/STD]],
                INDEX(B261:B505,MATCH(Table_2[[#This Row],[A/C]],H261:H505,0))-Table_2[[#This Row],[ETA/ETD]])
        ),
        ""
    ),
"TBC")</f>
        <v>6.9444444452528842E-3</v>
      </c>
      <c r="N260" s="140" t="str" cm="1">
        <f t="array" ref="N26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0" s="135" t="str">
        <f>Table_2[[#This Row],[A/C]]&amp;Table_2[[#This Row],[Column2]]</f>
        <v>-UO891</v>
      </c>
      <c r="Q26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0" s="166" t="str">
        <f>IFERROR(Table_2[[#This Row],[UTC TIME]]-TIME(1,30,0),"")</f>
        <v/>
      </c>
      <c r="S260" s="167"/>
      <c r="T260" s="167"/>
    </row>
    <row r="261" spans="1:22" hidden="1">
      <c r="A261" s="140" t="s">
        <v>257</v>
      </c>
      <c r="B261" s="163">
        <v>46067.819444444445</v>
      </c>
      <c r="C261" s="163"/>
      <c r="D261" s="136" t="s">
        <v>259</v>
      </c>
      <c r="E261" s="140" t="s">
        <v>182</v>
      </c>
      <c r="F261" s="280" t="s">
        <v>183</v>
      </c>
      <c r="G261" s="280"/>
      <c r="H261" s="144" t="s">
        <v>259</v>
      </c>
      <c r="I261" s="140" t="s">
        <v>259</v>
      </c>
      <c r="J261" s="140" t="s">
        <v>26</v>
      </c>
      <c r="K261" s="135" t="str">
        <f>LEFT(Table_2[[#This Row],[Flt. ID]],2)&amp;RIGHT(Table_2[[#This Row],[Flt. ID]],3)</f>
        <v>UO115</v>
      </c>
      <c r="L261" s="131" t="str">
        <f>"H"&amp;ROW(Table_2[[#This Row],[A/C]])+1&amp;":H300"</f>
        <v>H262:H300</v>
      </c>
      <c r="M261" s="164">
        <f>IFERROR(
    IF(Table_2[[#This Row],[Arr/ Dep]]="A",
        IF(
            INDEX(B262:B506,MATCH(Table_2[[#This Row],[A/C]],H262:H506,0))
            - IF(Table_2[[#This Row],[ETA/ETD]]="",Table_2[[#This Row],[STA/STD]],Table_2[[#This Row],[ETA/ETD]]) &lt; 0,
            "ASAP",
            IF(Table_2[[#This Row],[ETA/ETD]]="",
                INDEX(B262:B506,MATCH(Table_2[[#This Row],[A/C]],H262:H506,0))-Table_2[[#This Row],[STA/STD]],
                INDEX(B262:B506,MATCH(Table_2[[#This Row],[A/C]],H262:H506,0))-Table_2[[#This Row],[ETA/ETD]])
        ),
        ""
    ),
"TBC")</f>
        <v>6.9444444452528842E-3</v>
      </c>
      <c r="N261" s="140" t="str" cm="1">
        <f t="array" ref="N26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1" s="135" t="str">
        <f>Table_2[[#This Row],[A/C]]&amp;Table_2[[#This Row],[Column2]]</f>
        <v>-UO115</v>
      </c>
      <c r="Q26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1" s="166" t="str">
        <f>IFERROR(Table_2[[#This Row],[UTC TIME]]-TIME(1,30,0),"")</f>
        <v/>
      </c>
      <c r="S261" s="138"/>
      <c r="T261" s="138"/>
    </row>
    <row r="262" spans="1:22" hidden="1">
      <c r="A262" s="140" t="s">
        <v>258</v>
      </c>
      <c r="B262" s="163">
        <v>46067.826388888891</v>
      </c>
      <c r="C262" s="163"/>
      <c r="D262" s="136" t="s">
        <v>259</v>
      </c>
      <c r="E262" s="140" t="s">
        <v>178</v>
      </c>
      <c r="F262" s="280" t="s">
        <v>179</v>
      </c>
      <c r="G262" s="280"/>
      <c r="H262" s="144" t="s">
        <v>259</v>
      </c>
      <c r="I262" s="140" t="s">
        <v>259</v>
      </c>
      <c r="J262" s="140" t="s">
        <v>42</v>
      </c>
      <c r="K262" s="135" t="str">
        <f>LEFT(Table_2[[#This Row],[Flt. ID]],2)&amp;RIGHT(Table_2[[#This Row],[Flt. ID]],3)</f>
        <v>UO226</v>
      </c>
      <c r="L262" s="131" t="str">
        <f>"H"&amp;ROW(Table_2[[#This Row],[A/C]])+1&amp;":H300"</f>
        <v>H263:H300</v>
      </c>
      <c r="M262" s="164" t="str">
        <f>IFERROR(
    IF(Table_2[[#This Row],[Arr/ Dep]]="A",
        IF(
            INDEX(B263:B507,MATCH(Table_2[[#This Row],[A/C]],H263:H507,0))
            - IF(Table_2[[#This Row],[ETA/ETD]]="",Table_2[[#This Row],[STA/STD]],Table_2[[#This Row],[ETA/ETD]]) &lt; 0,
            "ASAP",
            IF(Table_2[[#This Row],[ETA/ETD]]="",
                INDEX(B263:B507,MATCH(Table_2[[#This Row],[A/C]],H263:H507,0))-Table_2[[#This Row],[STA/STD]],
                INDEX(B263:B507,MATCH(Table_2[[#This Row],[A/C]],H263:H507,0))-Table_2[[#This Row],[ETA/ETD]])
        ),
        ""
    ),
"TBC")</f>
        <v/>
      </c>
      <c r="N262" s="140" t="str" cm="1">
        <f t="array" ref="N26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2" s="135" t="str">
        <f>Table_2[[#This Row],[A/C]]&amp;Table_2[[#This Row],[Column2]]</f>
        <v>-UO226</v>
      </c>
      <c r="Q26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2" s="166" t="str">
        <f>IFERROR(Table_2[[#This Row],[UTC TIME]]-TIME(1,30,0),"")</f>
        <v/>
      </c>
      <c r="S262" s="138"/>
      <c r="T262" s="138"/>
    </row>
    <row r="263" spans="1:22" hidden="1">
      <c r="A263" s="140" t="s">
        <v>260</v>
      </c>
      <c r="B263" s="163">
        <v>46067.829861111109</v>
      </c>
      <c r="C263" s="163"/>
      <c r="D263" s="136" t="s">
        <v>259</v>
      </c>
      <c r="E263" s="140" t="s">
        <v>66</v>
      </c>
      <c r="F263" s="280" t="s">
        <v>67</v>
      </c>
      <c r="G263" s="280"/>
      <c r="H263" s="144" t="s">
        <v>259</v>
      </c>
      <c r="I263" s="140" t="s">
        <v>259</v>
      </c>
      <c r="J263" s="140" t="s">
        <v>42</v>
      </c>
      <c r="K263" s="135" t="str">
        <f>LEFT(Table_2[[#This Row],[Flt. ID]],2)&amp;RIGHT(Table_2[[#This Row],[Flt. ID]],3)</f>
        <v>UO628</v>
      </c>
      <c r="L263" s="131" t="str">
        <f>"H"&amp;ROW(Table_2[[#This Row],[A/C]])+1&amp;":H300"</f>
        <v>H264:H300</v>
      </c>
      <c r="M263" s="164" t="str">
        <f>IFERROR(
    IF(Table_2[[#This Row],[Arr/ Dep]]="A",
        IF(
            INDEX(B264:B508,MATCH(Table_2[[#This Row],[A/C]],H264:H508,0))
            - IF(Table_2[[#This Row],[ETA/ETD]]="",Table_2[[#This Row],[STA/STD]],Table_2[[#This Row],[ETA/ETD]]) &lt; 0,
            "ASAP",
            IF(Table_2[[#This Row],[ETA/ETD]]="",
                INDEX(B264:B508,MATCH(Table_2[[#This Row],[A/C]],H264:H508,0))-Table_2[[#This Row],[STA/STD]],
                INDEX(B264:B508,MATCH(Table_2[[#This Row],[A/C]],H264:H508,0))-Table_2[[#This Row],[ETA/ETD]])
        ),
        ""
    ),
"TBC")</f>
        <v/>
      </c>
      <c r="N263" s="140" t="str" cm="1">
        <f t="array" ref="N26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3" s="135" t="str">
        <f>Table_2[[#This Row],[A/C]]&amp;Table_2[[#This Row],[Column2]]</f>
        <v>-UO628</v>
      </c>
      <c r="Q26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3" s="166" t="str">
        <f>IFERROR(Table_2[[#This Row],[UTC TIME]]-TIME(1,30,0),"")</f>
        <v/>
      </c>
      <c r="S263" s="167"/>
      <c r="T263" s="167"/>
      <c r="U263" s="133"/>
      <c r="V263" s="133"/>
    </row>
    <row r="264" spans="1:22" hidden="1">
      <c r="A264" s="140" t="s">
        <v>261</v>
      </c>
      <c r="B264" s="163">
        <v>46067.833333333336</v>
      </c>
      <c r="C264" s="163"/>
      <c r="D264" s="136" t="s">
        <v>259</v>
      </c>
      <c r="E264" s="140" t="s">
        <v>28</v>
      </c>
      <c r="F264" s="280" t="s">
        <v>29</v>
      </c>
      <c r="G264" s="280"/>
      <c r="H264" s="144" t="s">
        <v>259</v>
      </c>
      <c r="I264" s="140" t="s">
        <v>259</v>
      </c>
      <c r="J264" s="140" t="s">
        <v>26</v>
      </c>
      <c r="K264" s="135" t="str">
        <f>LEFT(Table_2[[#This Row],[Flt. ID]],2)&amp;RIGHT(Table_2[[#This Row],[Flt. ID]],3)</f>
        <v>UO849</v>
      </c>
      <c r="L264" s="131" t="str">
        <f>"H"&amp;ROW(Table_2[[#This Row],[A/C]])+1&amp;":H300"</f>
        <v>H265:H300</v>
      </c>
      <c r="M264" s="164">
        <f>IFERROR(
    IF(Table_2[[#This Row],[Arr/ Dep]]="A",
        IF(
            INDEX(B265:B509,MATCH(Table_2[[#This Row],[A/C]],H265:H509,0))
            - IF(Table_2[[#This Row],[ETA/ETD]]="",Table_2[[#This Row],[STA/STD]],Table_2[[#This Row],[ETA/ETD]]) &lt; 0,
            "ASAP",
            IF(Table_2[[#This Row],[ETA/ETD]]="",
                INDEX(B265:B509,MATCH(Table_2[[#This Row],[A/C]],H265:H509,0))-Table_2[[#This Row],[STA/STD]],
                INDEX(B265:B509,MATCH(Table_2[[#This Row],[A/C]],H265:H509,0))-Table_2[[#This Row],[ETA/ETD]])
        ),
        ""
    ),
"TBC")</f>
        <v>3.4722222189884633E-3</v>
      </c>
      <c r="N264" s="140" t="str" cm="1">
        <f t="array" ref="N26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4" s="135" t="str">
        <f>Table_2[[#This Row],[A/C]]&amp;Table_2[[#This Row],[Column2]]</f>
        <v>-UO849</v>
      </c>
      <c r="Q26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4" s="166" t="str">
        <f>IFERROR(Table_2[[#This Row],[UTC TIME]]-TIME(1,30,0),"")</f>
        <v/>
      </c>
      <c r="S264" s="167"/>
      <c r="T264" s="167"/>
      <c r="U264" s="133"/>
      <c r="V264" s="133"/>
    </row>
    <row r="265" spans="1:22" hidden="1">
      <c r="A265" s="140" t="s">
        <v>330</v>
      </c>
      <c r="B265" s="163">
        <v>46067.836805555555</v>
      </c>
      <c r="C265" s="163"/>
      <c r="D265" s="136" t="s">
        <v>259</v>
      </c>
      <c r="E265" s="140" t="s">
        <v>116</v>
      </c>
      <c r="F265" s="280" t="s">
        <v>117</v>
      </c>
      <c r="G265" s="280"/>
      <c r="H265" s="144" t="s">
        <v>259</v>
      </c>
      <c r="I265" s="140" t="s">
        <v>259</v>
      </c>
      <c r="J265" s="140" t="s">
        <v>42</v>
      </c>
      <c r="K265" s="135" t="str">
        <f>LEFT(Table_2[[#This Row],[Flt. ID]],2)&amp;RIGHT(Table_2[[#This Row],[Flt. ID]],3)</f>
        <v>UO542</v>
      </c>
      <c r="L265" s="131" t="str">
        <f>"H"&amp;ROW(Table_2[[#This Row],[A/C]])+1&amp;":H300"</f>
        <v>H266:H300</v>
      </c>
      <c r="M265" s="164" t="str">
        <f>IFERROR(
    IF(Table_2[[#This Row],[Arr/ Dep]]="A",
        IF(
            INDEX(B266:B510,MATCH(Table_2[[#This Row],[A/C]],H266:H510,0))
            - IF(Table_2[[#This Row],[ETA/ETD]]="",Table_2[[#This Row],[STA/STD]],Table_2[[#This Row],[ETA/ETD]]) &lt; 0,
            "ASAP",
            IF(Table_2[[#This Row],[ETA/ETD]]="",
                INDEX(B266:B510,MATCH(Table_2[[#This Row],[A/C]],H266:H510,0))-Table_2[[#This Row],[STA/STD]],
                INDEX(B266:B510,MATCH(Table_2[[#This Row],[A/C]],H266:H510,0))-Table_2[[#This Row],[ETA/ETD]])
        ),
        ""
    ),
"TBC")</f>
        <v/>
      </c>
      <c r="N265" s="140" t="str" cm="1">
        <f t="array" ref="N26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5" s="135" t="str">
        <f>Table_2[[#This Row],[A/C]]&amp;Table_2[[#This Row],[Column2]]</f>
        <v>-UO542</v>
      </c>
      <c r="Q26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5" s="166" t="str">
        <f>IFERROR(Table_2[[#This Row],[UTC TIME]]-TIME(1,30,0),"")</f>
        <v/>
      </c>
      <c r="S265" s="167"/>
      <c r="T265" s="167"/>
      <c r="U265" s="133"/>
      <c r="V265" s="133"/>
    </row>
    <row r="266" spans="1:22" hidden="1">
      <c r="A266" s="140" t="s">
        <v>264</v>
      </c>
      <c r="B266" s="163">
        <v>46067.847222222219</v>
      </c>
      <c r="C266" s="163"/>
      <c r="D266" s="136" t="s">
        <v>259</v>
      </c>
      <c r="E266" s="140" t="s">
        <v>125</v>
      </c>
      <c r="F266" s="280" t="s">
        <v>126</v>
      </c>
      <c r="G266" s="280"/>
      <c r="H266" s="144" t="s">
        <v>259</v>
      </c>
      <c r="I266" s="140" t="s">
        <v>259</v>
      </c>
      <c r="J266" s="140" t="s">
        <v>26</v>
      </c>
      <c r="K266" s="135" t="str">
        <f>LEFT(Table_2[[#This Row],[Flt. ID]],2)&amp;RIGHT(Table_2[[#This Row],[Flt. ID]],3)</f>
        <v>UO701</v>
      </c>
      <c r="L266" s="131" t="str">
        <f>"H"&amp;ROW(Table_2[[#This Row],[A/C]])+1&amp;":H300"</f>
        <v>H267:H300</v>
      </c>
      <c r="M266" s="164">
        <f>IFERROR(
    IF(Table_2[[#This Row],[Arr/ Dep]]="A",
        IF(
            INDEX(B267:B511,MATCH(Table_2[[#This Row],[A/C]],H267:H511,0))
            - IF(Table_2[[#This Row],[ETA/ETD]]="",Table_2[[#This Row],[STA/STD]],Table_2[[#This Row],[ETA/ETD]]) &lt; 0,
            "ASAP",
            IF(Table_2[[#This Row],[ETA/ETD]]="",
                INDEX(B267:B511,MATCH(Table_2[[#This Row],[A/C]],H267:H511,0))-Table_2[[#This Row],[STA/STD]],
                INDEX(B267:B511,MATCH(Table_2[[#This Row],[A/C]],H267:H511,0))-Table_2[[#This Row],[ETA/ETD]])
        ),
        ""
    ),
"TBC")</f>
        <v>0</v>
      </c>
      <c r="N266" s="140" t="str" cm="1">
        <f t="array" ref="N26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6" s="135" t="str">
        <f>Table_2[[#This Row],[A/C]]&amp;Table_2[[#This Row],[Column2]]</f>
        <v>-UO701</v>
      </c>
      <c r="Q26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6" s="166" t="str">
        <f>IFERROR(Table_2[[#This Row],[UTC TIME]]-TIME(1,30,0),"")</f>
        <v/>
      </c>
      <c r="S266" s="167"/>
      <c r="T266" s="167"/>
      <c r="U266" s="133"/>
      <c r="V266" s="133"/>
    </row>
    <row r="267" spans="1:22" hidden="1">
      <c r="A267" s="140" t="s">
        <v>265</v>
      </c>
      <c r="B267" s="163">
        <v>46067.847222222219</v>
      </c>
      <c r="C267" s="163"/>
      <c r="D267" s="136" t="s">
        <v>259</v>
      </c>
      <c r="E267" s="140" t="s">
        <v>75</v>
      </c>
      <c r="F267" s="280" t="s">
        <v>76</v>
      </c>
      <c r="G267" s="280"/>
      <c r="H267" s="144" t="s">
        <v>259</v>
      </c>
      <c r="I267" s="140" t="s">
        <v>259</v>
      </c>
      <c r="J267" s="140" t="s">
        <v>42</v>
      </c>
      <c r="K267" s="135" t="str">
        <f>LEFT(Table_2[[#This Row],[Flt. ID]],2)&amp;RIGHT(Table_2[[#This Row],[Flt. ID]],3)</f>
        <v>UO748</v>
      </c>
      <c r="L267" s="131" t="str">
        <f>"H"&amp;ROW(Table_2[[#This Row],[A/C]])+1&amp;":H300"</f>
        <v>H268:H300</v>
      </c>
      <c r="M267" s="164" t="str">
        <f>IFERROR(
    IF(Table_2[[#This Row],[Arr/ Dep]]="A",
        IF(
            INDEX(B268:B512,MATCH(Table_2[[#This Row],[A/C]],H268:H512,0))
            - IF(Table_2[[#This Row],[ETA/ETD]]="",Table_2[[#This Row],[STA/STD]],Table_2[[#This Row],[ETA/ETD]]) &lt; 0,
            "ASAP",
            IF(Table_2[[#This Row],[ETA/ETD]]="",
                INDEX(B268:B512,MATCH(Table_2[[#This Row],[A/C]],H268:H512,0))-Table_2[[#This Row],[STA/STD]],
                INDEX(B268:B512,MATCH(Table_2[[#This Row],[A/C]],H268:H512,0))-Table_2[[#This Row],[ETA/ETD]])
        ),
        ""
    ),
"TBC")</f>
        <v/>
      </c>
      <c r="N267" s="140" t="str" cm="1">
        <f t="array" ref="N26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7" s="135" t="str">
        <f>Table_2[[#This Row],[A/C]]&amp;Table_2[[#This Row],[Column2]]</f>
        <v>-UO748</v>
      </c>
      <c r="Q26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7" s="166" t="str">
        <f>IFERROR(Table_2[[#This Row],[UTC TIME]]-TIME(1,30,0),"")</f>
        <v/>
      </c>
      <c r="S267" s="167"/>
      <c r="T267" s="167"/>
      <c r="U267" s="133"/>
      <c r="V267" s="133"/>
    </row>
    <row r="268" spans="1:22" hidden="1">
      <c r="A268" s="140" t="s">
        <v>266</v>
      </c>
      <c r="B268" s="163">
        <v>46067.847222222219</v>
      </c>
      <c r="C268" s="163"/>
      <c r="D268" s="136" t="s">
        <v>259</v>
      </c>
      <c r="E268" s="140" t="s">
        <v>75</v>
      </c>
      <c r="F268" s="280" t="s">
        <v>76</v>
      </c>
      <c r="G268" s="280"/>
      <c r="H268" s="144" t="s">
        <v>259</v>
      </c>
      <c r="I268" s="140" t="s">
        <v>259</v>
      </c>
      <c r="J268" s="140" t="s">
        <v>26</v>
      </c>
      <c r="K268" s="135" t="str">
        <f>LEFT(Table_2[[#This Row],[Flt. ID]],2)&amp;RIGHT(Table_2[[#This Row],[Flt. ID]],3)</f>
        <v>UO787</v>
      </c>
      <c r="L268" s="131" t="str">
        <f>"H"&amp;ROW(Table_2[[#This Row],[A/C]])+1&amp;":H300"</f>
        <v>H269:H300</v>
      </c>
      <c r="M268" s="164">
        <f>IFERROR(
    IF(Table_2[[#This Row],[Arr/ Dep]]="A",
        IF(
            INDEX(B269:B513,MATCH(Table_2[[#This Row],[A/C]],H269:H513,0))
            - IF(Table_2[[#This Row],[ETA/ETD]]="",Table_2[[#This Row],[STA/STD]],Table_2[[#This Row],[ETA/ETD]]) &lt; 0,
            "ASAP",
            IF(Table_2[[#This Row],[ETA/ETD]]="",
                INDEX(B269:B513,MATCH(Table_2[[#This Row],[A/C]],H269:H513,0))-Table_2[[#This Row],[STA/STD]],
                INDEX(B269:B513,MATCH(Table_2[[#This Row],[A/C]],H269:H513,0))-Table_2[[#This Row],[ETA/ETD]])
        ),
        ""
    ),
"TBC")</f>
        <v>2.7777777781011537E-2</v>
      </c>
      <c r="N268" s="140" t="str" cm="1">
        <f t="array" ref="N26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8" s="135" t="str">
        <f>Table_2[[#This Row],[A/C]]&amp;Table_2[[#This Row],[Column2]]</f>
        <v>-UO787</v>
      </c>
      <c r="Q26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8" s="166" t="str">
        <f>IFERROR(Table_2[[#This Row],[UTC TIME]]-TIME(1,30,0),"")</f>
        <v/>
      </c>
      <c r="S268" s="167"/>
      <c r="T268" s="167"/>
    </row>
    <row r="269" spans="1:22" hidden="1">
      <c r="A269" s="140" t="s">
        <v>268</v>
      </c>
      <c r="B269" s="163">
        <v>46067.875</v>
      </c>
      <c r="C269" s="163"/>
      <c r="D269" s="136" t="s">
        <v>259</v>
      </c>
      <c r="E269" s="140" t="s">
        <v>22</v>
      </c>
      <c r="F269" s="280" t="s">
        <v>23</v>
      </c>
      <c r="G269" s="280"/>
      <c r="H269" s="144" t="s">
        <v>259</v>
      </c>
      <c r="I269" s="140" t="s">
        <v>259</v>
      </c>
      <c r="J269" s="140" t="s">
        <v>26</v>
      </c>
      <c r="K269" s="135" t="str">
        <f>LEFT(Table_2[[#This Row],[Flt. ID]],2)&amp;RIGHT(Table_2[[#This Row],[Flt. ID]],3)</f>
        <v>UO899</v>
      </c>
      <c r="L269" s="131" t="str">
        <f>"H"&amp;ROW(Table_2[[#This Row],[A/C]])+1&amp;":H300"</f>
        <v>H270:H300</v>
      </c>
      <c r="M269" s="164">
        <f>IFERROR(
    IF(Table_2[[#This Row],[Arr/ Dep]]="A",
        IF(
            INDEX(B270:B514,MATCH(Table_2[[#This Row],[A/C]],H270:H514,0))
            - IF(Table_2[[#This Row],[ETA/ETD]]="",Table_2[[#This Row],[STA/STD]],Table_2[[#This Row],[ETA/ETD]]) &lt; 0,
            "ASAP",
            IF(Table_2[[#This Row],[ETA/ETD]]="",
                INDEX(B270:B514,MATCH(Table_2[[#This Row],[A/C]],H270:H514,0))-Table_2[[#This Row],[STA/STD]],
                INDEX(B270:B514,MATCH(Table_2[[#This Row],[A/C]],H270:H514,0))-Table_2[[#This Row],[ETA/ETD]])
        ),
        ""
    ),
"TBC")</f>
        <v>3.4722222189884633E-3</v>
      </c>
      <c r="N269" s="140" t="str" cm="1">
        <f t="array" ref="N26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6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69" s="135" t="str">
        <f>Table_2[[#This Row],[A/C]]&amp;Table_2[[#This Row],[Column2]]</f>
        <v>-UO899</v>
      </c>
      <c r="Q26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69" s="166" t="str">
        <f>IFERROR(Table_2[[#This Row],[UTC TIME]]-TIME(1,30,0),"")</f>
        <v/>
      </c>
      <c r="S269" s="138"/>
      <c r="T269" s="138"/>
    </row>
    <row r="270" spans="1:22" hidden="1">
      <c r="A270" s="140" t="s">
        <v>270</v>
      </c>
      <c r="B270" s="163">
        <v>46067.878472222219</v>
      </c>
      <c r="C270" s="163"/>
      <c r="D270" s="136" t="s">
        <v>259</v>
      </c>
      <c r="E270" s="140" t="s">
        <v>38</v>
      </c>
      <c r="F270" s="280" t="s">
        <v>39</v>
      </c>
      <c r="G270" s="280"/>
      <c r="H270" s="144" t="s">
        <v>259</v>
      </c>
      <c r="I270" s="140" t="s">
        <v>259</v>
      </c>
      <c r="J270" s="140" t="s">
        <v>42</v>
      </c>
      <c r="K270" s="135" t="str">
        <f>LEFT(Table_2[[#This Row],[Flt. ID]],2)&amp;RIGHT(Table_2[[#This Row],[Flt. ID]],3)</f>
        <v>UO614</v>
      </c>
      <c r="L270" s="131" t="str">
        <f>"H"&amp;ROW(Table_2[[#This Row],[A/C]])+1&amp;":H300"</f>
        <v>H271:H300</v>
      </c>
      <c r="M270" s="164" t="str">
        <f>IFERROR(
    IF(Table_2[[#This Row],[Arr/ Dep]]="A",
        IF(
            INDEX(B271:B515,MATCH(Table_2[[#This Row],[A/C]],H271:H515,0))
            - IF(Table_2[[#This Row],[ETA/ETD]]="",Table_2[[#This Row],[STA/STD]],Table_2[[#This Row],[ETA/ETD]]) &lt; 0,
            "ASAP",
            IF(Table_2[[#This Row],[ETA/ETD]]="",
                INDEX(B271:B515,MATCH(Table_2[[#This Row],[A/C]],H271:H515,0))-Table_2[[#This Row],[STA/STD]],
                INDEX(B271:B515,MATCH(Table_2[[#This Row],[A/C]],H271:H515,0))-Table_2[[#This Row],[ETA/ETD]])
        ),
        ""
    ),
"TBC")</f>
        <v/>
      </c>
      <c r="N270" s="140" t="str" cm="1">
        <f t="array" ref="N27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0" s="135" t="str">
        <f>Table_2[[#This Row],[A/C]]&amp;Table_2[[#This Row],[Column2]]</f>
        <v>-UO614</v>
      </c>
      <c r="Q27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0" s="166" t="str">
        <f>IFERROR(Table_2[[#This Row],[UTC TIME]]-TIME(1,30,0),"")</f>
        <v/>
      </c>
      <c r="S270" s="138"/>
      <c r="T270" s="138"/>
    </row>
    <row r="271" spans="1:22" hidden="1">
      <c r="A271" s="140" t="s">
        <v>271</v>
      </c>
      <c r="B271" s="163">
        <v>46067.878472222219</v>
      </c>
      <c r="C271" s="163"/>
      <c r="D271" s="136" t="s">
        <v>259</v>
      </c>
      <c r="E271" s="140" t="s">
        <v>122</v>
      </c>
      <c r="F271" s="280" t="s">
        <v>123</v>
      </c>
      <c r="G271" s="280"/>
      <c r="H271" s="144" t="s">
        <v>259</v>
      </c>
      <c r="I271" s="140" t="s">
        <v>259</v>
      </c>
      <c r="J271" s="140" t="s">
        <v>26</v>
      </c>
      <c r="K271" s="135" t="str">
        <f>LEFT(Table_2[[#This Row],[Flt. ID]],2)&amp;RIGHT(Table_2[[#This Row],[Flt. ID]],3)</f>
        <v>UO639</v>
      </c>
      <c r="L271" s="131" t="str">
        <f>"H"&amp;ROW(Table_2[[#This Row],[A/C]])+1&amp;":H300"</f>
        <v>H272:H300</v>
      </c>
      <c r="M271" s="164">
        <f>IFERROR(
    IF(Table_2[[#This Row],[Arr/ Dep]]="A",
        IF(
            INDEX(B272:B516,MATCH(Table_2[[#This Row],[A/C]],H272:H516,0))
            - IF(Table_2[[#This Row],[ETA/ETD]]="",Table_2[[#This Row],[STA/STD]],Table_2[[#This Row],[ETA/ETD]]) &lt; 0,
            "ASAP",
            IF(Table_2[[#This Row],[ETA/ETD]]="",
                INDEX(B272:B516,MATCH(Table_2[[#This Row],[A/C]],H272:H516,0))-Table_2[[#This Row],[STA/STD]],
                INDEX(B272:B516,MATCH(Table_2[[#This Row],[A/C]],H272:H516,0))-Table_2[[#This Row],[ETA/ETD]])
        ),
        ""
    ),
"TBC")</f>
        <v>1.0416666671517305E-2</v>
      </c>
      <c r="N271" s="140" t="str" cm="1">
        <f t="array" ref="N27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1" s="135" t="str">
        <f>Table_2[[#This Row],[A/C]]&amp;Table_2[[#This Row],[Column2]]</f>
        <v>-UO639</v>
      </c>
      <c r="Q27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1" s="166" t="str">
        <f>IFERROR(Table_2[[#This Row],[UTC TIME]]-TIME(1,30,0),"")</f>
        <v/>
      </c>
      <c r="S271" s="138"/>
      <c r="T271" s="138"/>
    </row>
    <row r="272" spans="1:22" hidden="1">
      <c r="A272" s="140" t="s">
        <v>332</v>
      </c>
      <c r="B272" s="163">
        <v>46067.888888888891</v>
      </c>
      <c r="C272" s="163"/>
      <c r="D272" s="136" t="s">
        <v>259</v>
      </c>
      <c r="E272" s="140" t="s">
        <v>125</v>
      </c>
      <c r="F272" s="280" t="s">
        <v>126</v>
      </c>
      <c r="G272" s="280"/>
      <c r="H272" s="144" t="s">
        <v>259</v>
      </c>
      <c r="I272" s="140" t="s">
        <v>259</v>
      </c>
      <c r="J272" s="140" t="s">
        <v>26</v>
      </c>
      <c r="K272" s="135" t="str">
        <f>LEFT(Table_2[[#This Row],[Flt. ID]],2)&amp;RIGHT(Table_2[[#This Row],[Flt. ID]],3)</f>
        <v>UO729</v>
      </c>
      <c r="L272" s="131" t="str">
        <f>"H"&amp;ROW(Table_2[[#This Row],[A/C]])+1&amp;":H300"</f>
        <v>H273:H300</v>
      </c>
      <c r="M272" s="164">
        <f>IFERROR(
    IF(Table_2[[#This Row],[Arr/ Dep]]="A",
        IF(
            INDEX(B273:B517,MATCH(Table_2[[#This Row],[A/C]],H273:H517,0))
            - IF(Table_2[[#This Row],[ETA/ETD]]="",Table_2[[#This Row],[STA/STD]],Table_2[[#This Row],[ETA/ETD]]) &lt; 0,
            "ASAP",
            IF(Table_2[[#This Row],[ETA/ETD]]="",
                INDEX(B273:B517,MATCH(Table_2[[#This Row],[A/C]],H273:H517,0))-Table_2[[#This Row],[STA/STD]],
                INDEX(B273:B517,MATCH(Table_2[[#This Row],[A/C]],H273:H517,0))-Table_2[[#This Row],[ETA/ETD]])
        ),
        ""
    ),
"TBC")</f>
        <v>3.4722222189884633E-3</v>
      </c>
      <c r="N272" s="140" t="str" cm="1">
        <f t="array" ref="N27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2" s="135" t="str">
        <f>Table_2[[#This Row],[A/C]]&amp;Table_2[[#This Row],[Column2]]</f>
        <v>-UO729</v>
      </c>
      <c r="Q27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2" s="166" t="str">
        <f>IFERROR(Table_2[[#This Row],[UTC TIME]]-TIME(1,30,0),"")</f>
        <v/>
      </c>
      <c r="S272" s="167"/>
      <c r="T272" s="167"/>
    </row>
    <row r="273" spans="1:25" hidden="1">
      <c r="A273" s="140" t="s">
        <v>272</v>
      </c>
      <c r="B273" s="163">
        <v>46067.892361111109</v>
      </c>
      <c r="C273" s="163"/>
      <c r="D273" s="136" t="s">
        <v>259</v>
      </c>
      <c r="E273" s="140" t="s">
        <v>140</v>
      </c>
      <c r="F273" s="280" t="s">
        <v>141</v>
      </c>
      <c r="G273" s="280"/>
      <c r="H273" s="144" t="s">
        <v>259</v>
      </c>
      <c r="I273" s="140" t="s">
        <v>259</v>
      </c>
      <c r="J273" s="140" t="s">
        <v>26</v>
      </c>
      <c r="K273" s="135" t="str">
        <f>LEFT(Table_2[[#This Row],[Flt. ID]],2)&amp;RIGHT(Table_2[[#This Row],[Flt. ID]],3)</f>
        <v>UO559</v>
      </c>
      <c r="L273" s="131" t="str">
        <f>"H"&amp;ROW(Table_2[[#This Row],[A/C]])+1&amp;":H300"</f>
        <v>H274:H300</v>
      </c>
      <c r="M273" s="164">
        <f>IFERROR(
    IF(Table_2[[#This Row],[Arr/ Dep]]="A",
        IF(
            INDEX(B274:B518,MATCH(Table_2[[#This Row],[A/C]],H274:H518,0))
            - IF(Table_2[[#This Row],[ETA/ETD]]="",Table_2[[#This Row],[STA/STD]],Table_2[[#This Row],[ETA/ETD]]) &lt; 0,
            "ASAP",
            IF(Table_2[[#This Row],[ETA/ETD]]="",
                INDEX(B274:B518,MATCH(Table_2[[#This Row],[A/C]],H274:H518,0))-Table_2[[#This Row],[STA/STD]],
                INDEX(B274:B518,MATCH(Table_2[[#This Row],[A/C]],H274:H518,0))-Table_2[[#This Row],[ETA/ETD]])
        ),
        ""
    ),
"TBC")</f>
        <v>0</v>
      </c>
      <c r="N273" s="140" t="str" cm="1">
        <f t="array" ref="N27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3" s="135" t="str">
        <f>Table_2[[#This Row],[A/C]]&amp;Table_2[[#This Row],[Column2]]</f>
        <v>-UO559</v>
      </c>
      <c r="Q27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3" s="166" t="str">
        <f>IFERROR(Table_2[[#This Row],[UTC TIME]]-TIME(1,30,0),"")</f>
        <v/>
      </c>
      <c r="S273" s="141"/>
      <c r="T273" s="167"/>
    </row>
    <row r="274" spans="1:25" hidden="1">
      <c r="A274" s="140" t="s">
        <v>274</v>
      </c>
      <c r="B274" s="163">
        <v>46067.892361111109</v>
      </c>
      <c r="C274" s="163"/>
      <c r="D274" s="136" t="s">
        <v>259</v>
      </c>
      <c r="E274" s="140" t="s">
        <v>80</v>
      </c>
      <c r="F274" s="280" t="s">
        <v>81</v>
      </c>
      <c r="G274" s="280"/>
      <c r="H274" s="144" t="s">
        <v>259</v>
      </c>
      <c r="I274" s="140" t="s">
        <v>259</v>
      </c>
      <c r="J274" s="140" t="s">
        <v>42</v>
      </c>
      <c r="K274" s="135" t="str">
        <f>LEFT(Table_2[[#This Row],[Flt. ID]],2)&amp;RIGHT(Table_2[[#This Row],[Flt. ID]],3)</f>
        <v>UO790</v>
      </c>
      <c r="L274" s="131" t="str">
        <f>"H"&amp;ROW(Table_2[[#This Row],[A/C]])+1&amp;":H300"</f>
        <v>H275:H300</v>
      </c>
      <c r="M274" s="164" t="str">
        <f>IFERROR(
    IF(Table_2[[#This Row],[Arr/ Dep]]="A",
        IF(
            INDEX(B275:B519,MATCH(Table_2[[#This Row],[A/C]],H275:H519,0))
            - IF(Table_2[[#This Row],[ETA/ETD]]="",Table_2[[#This Row],[STA/STD]],Table_2[[#This Row],[ETA/ETD]]) &lt; 0,
            "ASAP",
            IF(Table_2[[#This Row],[ETA/ETD]]="",
                INDEX(B275:B519,MATCH(Table_2[[#This Row],[A/C]],H275:H519,0))-Table_2[[#This Row],[STA/STD]],
                INDEX(B275:B519,MATCH(Table_2[[#This Row],[A/C]],H275:H519,0))-Table_2[[#This Row],[ETA/ETD]])
        ),
        ""
    ),
"TBC")</f>
        <v/>
      </c>
      <c r="N274" s="140" t="str" cm="1">
        <f t="array" ref="N27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4" s="135" t="str">
        <f>Table_2[[#This Row],[A/C]]&amp;Table_2[[#This Row],[Column2]]</f>
        <v>-UO790</v>
      </c>
      <c r="Q27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4" s="166" t="str">
        <f>IFERROR(Table_2[[#This Row],[UTC TIME]]-TIME(1,30,0),"")</f>
        <v/>
      </c>
      <c r="S274" s="141"/>
      <c r="T274" s="167"/>
    </row>
    <row r="275" spans="1:25" hidden="1">
      <c r="A275" s="140" t="s">
        <v>277</v>
      </c>
      <c r="B275" s="163">
        <v>46067.892361111109</v>
      </c>
      <c r="C275" s="163"/>
      <c r="D275" s="136" t="s">
        <v>259</v>
      </c>
      <c r="E275" s="140" t="s">
        <v>28</v>
      </c>
      <c r="F275" s="280" t="s">
        <v>29</v>
      </c>
      <c r="G275" s="280"/>
      <c r="H275" s="144" t="s">
        <v>259</v>
      </c>
      <c r="I275" s="140" t="s">
        <v>259</v>
      </c>
      <c r="J275" s="140" t="s">
        <v>26</v>
      </c>
      <c r="K275" s="135" t="str">
        <f>LEFT(Table_2[[#This Row],[Flt. ID]],2)&amp;RIGHT(Table_2[[#This Row],[Flt. ID]],3)</f>
        <v>UO871</v>
      </c>
      <c r="L275" s="131" t="str">
        <f>"H"&amp;ROW(Table_2[[#This Row],[A/C]])+1&amp;":H300"</f>
        <v>H276:H300</v>
      </c>
      <c r="M275" s="164">
        <f>IFERROR(
    IF(Table_2[[#This Row],[Arr/ Dep]]="A",
        IF(
            INDEX(B276:B520,MATCH(Table_2[[#This Row],[A/C]],H276:H520,0))
            - IF(Table_2[[#This Row],[ETA/ETD]]="",Table_2[[#This Row],[STA/STD]],Table_2[[#This Row],[ETA/ETD]]) &lt; 0,
            "ASAP",
            IF(Table_2[[#This Row],[ETA/ETD]]="",
                INDEX(B276:B520,MATCH(Table_2[[#This Row],[A/C]],H276:H520,0))-Table_2[[#This Row],[STA/STD]],
                INDEX(B276:B520,MATCH(Table_2[[#This Row],[A/C]],H276:H520,0))-Table_2[[#This Row],[ETA/ETD]])
        ),
        ""
    ),
"TBC")</f>
        <v>2.7777777781011537E-2</v>
      </c>
      <c r="N275" s="140" t="str" cm="1">
        <f t="array" ref="N27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5" s="135" t="str">
        <f>Table_2[[#This Row],[A/C]]&amp;Table_2[[#This Row],[Column2]]</f>
        <v>-UO871</v>
      </c>
      <c r="Q27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5" s="166" t="str">
        <f>IFERROR(Table_2[[#This Row],[UTC TIME]]-TIME(1,30,0),"")</f>
        <v/>
      </c>
      <c r="S275" s="141"/>
      <c r="T275" s="167"/>
    </row>
    <row r="276" spans="1:25" hidden="1">
      <c r="A276" s="140" t="s">
        <v>278</v>
      </c>
      <c r="B276" s="163">
        <v>46067.920138888891</v>
      </c>
      <c r="C276" s="163"/>
      <c r="D276" s="136" t="s">
        <v>259</v>
      </c>
      <c r="E276" s="140" t="s">
        <v>95</v>
      </c>
      <c r="F276" s="280" t="s">
        <v>96</v>
      </c>
      <c r="G276" s="280"/>
      <c r="H276" s="144" t="s">
        <v>259</v>
      </c>
      <c r="I276" s="140" t="s">
        <v>259</v>
      </c>
      <c r="J276" s="140" t="s">
        <v>42</v>
      </c>
      <c r="K276" s="135" t="str">
        <f>LEFT(Table_2[[#This Row],[Flt. ID]],2)&amp;RIGHT(Table_2[[#This Row],[Flt. ID]],3)</f>
        <v>UO260</v>
      </c>
      <c r="L276" s="131" t="str">
        <f>"H"&amp;ROW(Table_2[[#This Row],[A/C]])+1&amp;":H300"</f>
        <v>H277:H300</v>
      </c>
      <c r="M276" s="164" t="str">
        <f>IFERROR(
    IF(Table_2[[#This Row],[Arr/ Dep]]="A",
        IF(
            INDEX(B277:B521,MATCH(Table_2[[#This Row],[A/C]],H277:H521,0))
            - IF(Table_2[[#This Row],[ETA/ETD]]="",Table_2[[#This Row],[STA/STD]],Table_2[[#This Row],[ETA/ETD]]) &lt; 0,
            "ASAP",
            IF(Table_2[[#This Row],[ETA/ETD]]="",
                INDEX(B277:B521,MATCH(Table_2[[#This Row],[A/C]],H277:H521,0))-Table_2[[#This Row],[STA/STD]],
                INDEX(B277:B521,MATCH(Table_2[[#This Row],[A/C]],H277:H521,0))-Table_2[[#This Row],[ETA/ETD]])
        ),
        ""
    ),
"TBC")</f>
        <v/>
      </c>
      <c r="N276" s="140" t="str" cm="1">
        <f t="array" ref="N27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6" s="135" t="str">
        <f>Table_2[[#This Row],[A/C]]&amp;Table_2[[#This Row],[Column2]]</f>
        <v>-UO260</v>
      </c>
      <c r="Q27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6" s="166" t="str">
        <f>IFERROR(Table_2[[#This Row],[UTC TIME]]-TIME(1,30,0),"")</f>
        <v/>
      </c>
      <c r="S276" s="141"/>
      <c r="T276" s="167"/>
    </row>
    <row r="277" spans="1:25" hidden="1">
      <c r="A277" s="140" t="s">
        <v>279</v>
      </c>
      <c r="B277" s="163">
        <v>46067.927083333336</v>
      </c>
      <c r="C277" s="163"/>
      <c r="D277" s="136" t="s">
        <v>259</v>
      </c>
      <c r="E277" s="140" t="s">
        <v>106</v>
      </c>
      <c r="F277" s="280" t="s">
        <v>107</v>
      </c>
      <c r="G277" s="280"/>
      <c r="H277" s="144" t="s">
        <v>259</v>
      </c>
      <c r="I277" s="140" t="s">
        <v>259</v>
      </c>
      <c r="J277" s="140" t="s">
        <v>26</v>
      </c>
      <c r="K277" s="135" t="str">
        <f>LEFT(Table_2[[#This Row],[Flt. ID]],2)&amp;RIGHT(Table_2[[#This Row],[Flt. ID]],3)</f>
        <v>UO827</v>
      </c>
      <c r="L277" s="131" t="str">
        <f>"H"&amp;ROW(Table_2[[#This Row],[A/C]])+1&amp;":H300"</f>
        <v>H278:H300</v>
      </c>
      <c r="M277" s="164">
        <f>IFERROR(
    IF(Table_2[[#This Row],[Arr/ Dep]]="A",
        IF(
            INDEX(B278:B522,MATCH(Table_2[[#This Row],[A/C]],H278:H522,0))
            - IF(Table_2[[#This Row],[ETA/ETD]]="",Table_2[[#This Row],[STA/STD]],Table_2[[#This Row],[ETA/ETD]]) &lt; 0,
            "ASAP",
            IF(Table_2[[#This Row],[ETA/ETD]]="",
                INDEX(B278:B522,MATCH(Table_2[[#This Row],[A/C]],H278:H522,0))-Table_2[[#This Row],[STA/STD]],
                INDEX(B278:B522,MATCH(Table_2[[#This Row],[A/C]],H278:H522,0))-Table_2[[#This Row],[ETA/ETD]])
        ),
        ""
    ),
"TBC")</f>
        <v>6.9444444452528842E-3</v>
      </c>
      <c r="N277" s="140" t="str" cm="1">
        <f t="array" ref="N27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7" s="135" t="str">
        <f>Table_2[[#This Row],[A/C]]&amp;Table_2[[#This Row],[Column2]]</f>
        <v>-UO827</v>
      </c>
      <c r="Q27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7" s="166" t="str">
        <f>IFERROR(Table_2[[#This Row],[UTC TIME]]-TIME(1,30,0),"")</f>
        <v/>
      </c>
      <c r="S277" s="213"/>
      <c r="T277" s="138"/>
    </row>
    <row r="278" spans="1:25" hidden="1">
      <c r="A278" s="140" t="s">
        <v>283</v>
      </c>
      <c r="B278" s="163">
        <v>46067.934027777781</v>
      </c>
      <c r="C278" s="163"/>
      <c r="D278" s="136" t="s">
        <v>259</v>
      </c>
      <c r="E278" s="140" t="s">
        <v>111</v>
      </c>
      <c r="F278" s="280" t="s">
        <v>112</v>
      </c>
      <c r="G278" s="280"/>
      <c r="H278" s="144" t="s">
        <v>259</v>
      </c>
      <c r="I278" s="140" t="s">
        <v>259</v>
      </c>
      <c r="J278" s="140" t="s">
        <v>26</v>
      </c>
      <c r="K278" s="135" t="str">
        <f>LEFT(Table_2[[#This Row],[Flt. ID]],2)&amp;RIGHT(Table_2[[#This Row],[Flt. ID]],3)</f>
        <v>UO183</v>
      </c>
      <c r="L278" s="131" t="str">
        <f>"H"&amp;ROW(Table_2[[#This Row],[A/C]])+1&amp;":H300"</f>
        <v>H279:H300</v>
      </c>
      <c r="M278" s="164">
        <f>IFERROR(
    IF(Table_2[[#This Row],[Arr/ Dep]]="A",
        IF(
            INDEX(B279:B523,MATCH(Table_2[[#This Row],[A/C]],H279:H523,0))
            - IF(Table_2[[#This Row],[ETA/ETD]]="",Table_2[[#This Row],[STA/STD]],Table_2[[#This Row],[ETA/ETD]]) &lt; 0,
            "ASAP",
            IF(Table_2[[#This Row],[ETA/ETD]]="",
                INDEX(B279:B523,MATCH(Table_2[[#This Row],[A/C]],H279:H523,0))-Table_2[[#This Row],[STA/STD]],
                INDEX(B279:B523,MATCH(Table_2[[#This Row],[A/C]],H279:H523,0))-Table_2[[#This Row],[ETA/ETD]])
        ),
        ""
    ),
"TBC")</f>
        <v>6.9444444379769266E-3</v>
      </c>
      <c r="N278" s="140" t="str" cm="1">
        <f t="array" ref="N27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8" s="135" t="str">
        <f>Table_2[[#This Row],[A/C]]&amp;Table_2[[#This Row],[Column2]]</f>
        <v>-UO183</v>
      </c>
      <c r="Q27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8" s="166" t="str">
        <f>IFERROR(Table_2[[#This Row],[UTC TIME]]-TIME(1,30,0),"")</f>
        <v/>
      </c>
      <c r="S278" s="224"/>
      <c r="T278" s="222"/>
      <c r="U278" s="114"/>
      <c r="V278" s="114"/>
      <c r="W278" s="114"/>
      <c r="X278" s="114"/>
      <c r="Y278" s="114"/>
    </row>
    <row r="279" spans="1:25" hidden="1">
      <c r="A279" s="140" t="s">
        <v>285</v>
      </c>
      <c r="B279" s="163">
        <v>46067.940972222219</v>
      </c>
      <c r="C279" s="163"/>
      <c r="D279" s="136" t="s">
        <v>259</v>
      </c>
      <c r="E279" s="140" t="s">
        <v>63</v>
      </c>
      <c r="F279" s="280" t="s">
        <v>64</v>
      </c>
      <c r="G279" s="280"/>
      <c r="H279" s="144" t="s">
        <v>259</v>
      </c>
      <c r="I279" s="140" t="s">
        <v>259</v>
      </c>
      <c r="J279" s="140" t="s">
        <v>26</v>
      </c>
      <c r="K279" s="135" t="str">
        <f>LEFT(Table_2[[#This Row],[Flt. ID]],2)&amp;RIGHT(Table_2[[#This Row],[Flt. ID]],3)</f>
        <v>UO663</v>
      </c>
      <c r="L279" s="131" t="str">
        <f>"H"&amp;ROW(Table_2[[#This Row],[A/C]])+1&amp;":H300"</f>
        <v>H280:H300</v>
      </c>
      <c r="M279" s="164">
        <f>IFERROR(
    IF(Table_2[[#This Row],[Arr/ Dep]]="A",
        IF(
            INDEX(B280:B524,MATCH(Table_2[[#This Row],[A/C]],H280:H524,0))
            - IF(Table_2[[#This Row],[ETA/ETD]]="",Table_2[[#This Row],[STA/STD]],Table_2[[#This Row],[ETA/ETD]]) &lt; 0,
            "ASAP",
            IF(Table_2[[#This Row],[ETA/ETD]]="",
                INDEX(B280:B524,MATCH(Table_2[[#This Row],[A/C]],H280:H524,0))-Table_2[[#This Row],[STA/STD]],
                INDEX(B280:B524,MATCH(Table_2[[#This Row],[A/C]],H280:H524,0))-Table_2[[#This Row],[ETA/ETD]])
        ),
        ""
    ),
"TBC")</f>
        <v>3.4722222262644209E-3</v>
      </c>
      <c r="N279" s="140" t="str" cm="1">
        <f t="array" ref="N279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79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79" s="135" t="str">
        <f>Table_2[[#This Row],[A/C]]&amp;Table_2[[#This Row],[Column2]]</f>
        <v>-UO663</v>
      </c>
      <c r="Q279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79" s="166" t="str">
        <f>IFERROR(Table_2[[#This Row],[UTC TIME]]-TIME(1,30,0),"")</f>
        <v/>
      </c>
      <c r="S279" s="224"/>
      <c r="T279" s="222"/>
      <c r="U279" s="114"/>
      <c r="V279" s="114"/>
      <c r="W279" s="114"/>
      <c r="X279" s="114"/>
      <c r="Y279" s="114"/>
    </row>
    <row r="280" spans="1:25" hidden="1">
      <c r="A280" s="140" t="s">
        <v>333</v>
      </c>
      <c r="B280" s="163">
        <v>46067.944444444445</v>
      </c>
      <c r="C280" s="163"/>
      <c r="D280" s="136" t="s">
        <v>259</v>
      </c>
      <c r="E280" s="140" t="s">
        <v>133</v>
      </c>
      <c r="F280" s="280" t="s">
        <v>134</v>
      </c>
      <c r="G280" s="280"/>
      <c r="H280" s="144" t="s">
        <v>259</v>
      </c>
      <c r="I280" s="140" t="s">
        <v>259</v>
      </c>
      <c r="J280" s="140" t="s">
        <v>26</v>
      </c>
      <c r="K280" s="135" t="str">
        <f>LEFT(Table_2[[#This Row],[Flt. ID]],2)&amp;RIGHT(Table_2[[#This Row],[Flt. ID]],3)</f>
        <v>UO135</v>
      </c>
      <c r="L280" s="131" t="str">
        <f>"H"&amp;ROW(Table_2[[#This Row],[A/C]])+1&amp;":H300"</f>
        <v>H281:H300</v>
      </c>
      <c r="M280" s="164">
        <f>IFERROR(
    IF(Table_2[[#This Row],[Arr/ Dep]]="A",
        IF(
            INDEX(B281:B525,MATCH(Table_2[[#This Row],[A/C]],H281:H525,0))
            - IF(Table_2[[#This Row],[ETA/ETD]]="",Table_2[[#This Row],[STA/STD]],Table_2[[#This Row],[ETA/ETD]]) &lt; 0,
            "ASAP",
            IF(Table_2[[#This Row],[ETA/ETD]]="",
                INDEX(B281:B525,MATCH(Table_2[[#This Row],[A/C]],H281:H525,0))-Table_2[[#This Row],[STA/STD]],
                INDEX(B281:B525,MATCH(Table_2[[#This Row],[A/C]],H281:H525,0))-Table_2[[#This Row],[ETA/ETD]])
        ),
        ""
    ),
"TBC")</f>
        <v>1.7361111109494232E-2</v>
      </c>
      <c r="N280" s="140" t="str" cm="1">
        <f t="array" ref="N280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0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0" s="135" t="str">
        <f>Table_2[[#This Row],[A/C]]&amp;Table_2[[#This Row],[Column2]]</f>
        <v>-UO135</v>
      </c>
      <c r="Q280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0" s="166" t="str">
        <f>IFERROR(Table_2[[#This Row],[UTC TIME]]-TIME(1,30,0),"")</f>
        <v/>
      </c>
      <c r="S280" s="219"/>
      <c r="T280" s="222"/>
      <c r="U280" s="114"/>
      <c r="V280" s="114"/>
      <c r="W280" s="114"/>
      <c r="X280" s="114"/>
      <c r="Y280" s="114"/>
    </row>
    <row r="281" spans="1:25" hidden="1">
      <c r="A281" s="140" t="s">
        <v>286</v>
      </c>
      <c r="B281" s="163">
        <v>46067.961805555555</v>
      </c>
      <c r="C281" s="163"/>
      <c r="D281" s="136" t="s">
        <v>259</v>
      </c>
      <c r="E281" s="140" t="s">
        <v>71</v>
      </c>
      <c r="F281" s="280" t="s">
        <v>72</v>
      </c>
      <c r="G281" s="280"/>
      <c r="H281" s="144" t="s">
        <v>259</v>
      </c>
      <c r="I281" s="140" t="s">
        <v>259</v>
      </c>
      <c r="J281" s="140" t="s">
        <v>42</v>
      </c>
      <c r="K281" s="135" t="str">
        <f>LEFT(Table_2[[#This Row],[Flt. ID]],2)&amp;RIGHT(Table_2[[#This Row],[Flt. ID]],3)</f>
        <v>UO506</v>
      </c>
      <c r="L281" s="131" t="str">
        <f>"H"&amp;ROW(Table_2[[#This Row],[A/C]])+1&amp;":H300"</f>
        <v>H282:H300</v>
      </c>
      <c r="M281" s="164" t="str">
        <f>IFERROR(
    IF(Table_2[[#This Row],[Arr/ Dep]]="A",
        IF(
            INDEX(B282:B526,MATCH(Table_2[[#This Row],[A/C]],H282:H526,0))
            - IF(Table_2[[#This Row],[ETA/ETD]]="",Table_2[[#This Row],[STA/STD]],Table_2[[#This Row],[ETA/ETD]]) &lt; 0,
            "ASAP",
            IF(Table_2[[#This Row],[ETA/ETD]]="",
                INDEX(B282:B526,MATCH(Table_2[[#This Row],[A/C]],H282:H526,0))-Table_2[[#This Row],[STA/STD]],
                INDEX(B282:B526,MATCH(Table_2[[#This Row],[A/C]],H282:H526,0))-Table_2[[#This Row],[ETA/ETD]])
        ),
        ""
    ),
"TBC")</f>
        <v/>
      </c>
      <c r="N281" s="140" t="str" cm="1">
        <f t="array" ref="N281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1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1" s="135" t="str">
        <f>Table_2[[#This Row],[A/C]]&amp;Table_2[[#This Row],[Column2]]</f>
        <v>-UO506</v>
      </c>
      <c r="Q281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1" s="166" t="str">
        <f>IFERROR(Table_2[[#This Row],[UTC TIME]]-TIME(1,30,0),"")</f>
        <v/>
      </c>
      <c r="S281" s="160"/>
      <c r="T281" s="222"/>
      <c r="U281" s="114"/>
      <c r="V281" s="114"/>
      <c r="W281" s="114"/>
      <c r="X281" s="114"/>
      <c r="Y281" s="114"/>
    </row>
    <row r="282" spans="1:25" hidden="1">
      <c r="A282" s="140" t="s">
        <v>287</v>
      </c>
      <c r="B282" s="163">
        <v>46067.961805555555</v>
      </c>
      <c r="C282" s="163"/>
      <c r="D282" s="136" t="s">
        <v>259</v>
      </c>
      <c r="E282" s="140" t="s">
        <v>71</v>
      </c>
      <c r="F282" s="280" t="s">
        <v>72</v>
      </c>
      <c r="G282" s="280"/>
      <c r="H282" s="144" t="s">
        <v>259</v>
      </c>
      <c r="I282" s="140" t="s">
        <v>259</v>
      </c>
      <c r="J282" s="140" t="s">
        <v>26</v>
      </c>
      <c r="K282" s="135" t="str">
        <f>LEFT(Table_2[[#This Row],[Flt. ID]],2)&amp;RIGHT(Table_2[[#This Row],[Flt. ID]],3)</f>
        <v>UO515</v>
      </c>
      <c r="L282" s="131" t="str">
        <f>"H"&amp;ROW(Table_2[[#This Row],[A/C]])+1&amp;":H300"</f>
        <v>H283:H300</v>
      </c>
      <c r="M282" s="164">
        <f>IFERROR(
    IF(Table_2[[#This Row],[Arr/ Dep]]="A",
        IF(
            INDEX(B283:B527,MATCH(Table_2[[#This Row],[A/C]],H283:H527,0))
            - IF(Table_2[[#This Row],[ETA/ETD]]="",Table_2[[#This Row],[STA/STD]],Table_2[[#This Row],[ETA/ETD]]) &lt; 0,
            "ASAP",
            IF(Table_2[[#This Row],[ETA/ETD]]="",
                INDEX(B283:B527,MATCH(Table_2[[#This Row],[A/C]],H283:H527,0))-Table_2[[#This Row],[STA/STD]],
                INDEX(B283:B527,MATCH(Table_2[[#This Row],[A/C]],H283:H527,0))-Table_2[[#This Row],[ETA/ETD]])
        ),
        ""
    ),
"TBC")</f>
        <v>0</v>
      </c>
      <c r="N282" s="140" t="str" cm="1">
        <f t="array" ref="N282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2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2" s="135" t="str">
        <f>Table_2[[#This Row],[A/C]]&amp;Table_2[[#This Row],[Column2]]</f>
        <v>-UO515</v>
      </c>
      <c r="Q282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2" s="166" t="str">
        <f>IFERROR(Table_2[[#This Row],[UTC TIME]]-TIME(1,30,0),"")</f>
        <v/>
      </c>
      <c r="S282" s="160"/>
      <c r="T282" s="222"/>
      <c r="U282" s="114"/>
      <c r="V282" s="114"/>
      <c r="W282" s="114"/>
      <c r="X282" s="114"/>
      <c r="Y282" s="114"/>
    </row>
    <row r="283" spans="1:25" hidden="1">
      <c r="A283" s="140" t="s">
        <v>288</v>
      </c>
      <c r="B283" s="163">
        <v>46067.961805555555</v>
      </c>
      <c r="C283" s="163"/>
      <c r="D283" s="136" t="s">
        <v>259</v>
      </c>
      <c r="E283" s="140" t="s">
        <v>128</v>
      </c>
      <c r="F283" s="280" t="s">
        <v>129</v>
      </c>
      <c r="G283" s="280"/>
      <c r="H283" s="144" t="s">
        <v>259</v>
      </c>
      <c r="I283" s="140" t="s">
        <v>259</v>
      </c>
      <c r="J283" s="140" t="s">
        <v>26</v>
      </c>
      <c r="K283" s="135" t="str">
        <f>LEFT(Table_2[[#This Row],[Flt. ID]],2)&amp;RIGHT(Table_2[[#This Row],[Flt. ID]],3)</f>
        <v>UO569</v>
      </c>
      <c r="L283" s="131" t="str">
        <f>"H"&amp;ROW(Table_2[[#This Row],[A/C]])+1&amp;":H300"</f>
        <v>H284:H300</v>
      </c>
      <c r="M283" s="164">
        <f>IFERROR(
    IF(Table_2[[#This Row],[Arr/ Dep]]="A",
        IF(
            INDEX(B284:B528,MATCH(Table_2[[#This Row],[A/C]],H284:H528,0))
            - IF(Table_2[[#This Row],[ETA/ETD]]="",Table_2[[#This Row],[STA/STD]],Table_2[[#This Row],[ETA/ETD]]) &lt; 0,
            "ASAP",
            IF(Table_2[[#This Row],[ETA/ETD]]="",
                INDEX(B284:B528,MATCH(Table_2[[#This Row],[A/C]],H284:H528,0))-Table_2[[#This Row],[STA/STD]],
                INDEX(B284:B528,MATCH(Table_2[[#This Row],[A/C]],H284:H528,0))-Table_2[[#This Row],[ETA/ETD]])
        ),
        ""
    ),
"TBC")</f>
        <v>1.3888888890505768E-2</v>
      </c>
      <c r="N283" s="140" t="str" cm="1">
        <f t="array" ref="N283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3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3" s="135" t="str">
        <f>Table_2[[#This Row],[A/C]]&amp;Table_2[[#This Row],[Column2]]</f>
        <v>-UO569</v>
      </c>
      <c r="Q283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3" s="166" t="str">
        <f>IFERROR(Table_2[[#This Row],[UTC TIME]]-TIME(1,30,0),"")</f>
        <v/>
      </c>
      <c r="S283" s="141"/>
      <c r="T283" s="222"/>
      <c r="U283" s="114"/>
      <c r="V283" s="114"/>
      <c r="W283" s="114"/>
      <c r="X283" s="114"/>
      <c r="Y283" s="114"/>
    </row>
    <row r="284" spans="1:25" hidden="1">
      <c r="A284" s="140" t="s">
        <v>290</v>
      </c>
      <c r="B284" s="163">
        <v>46067.975694444445</v>
      </c>
      <c r="C284" s="163"/>
      <c r="D284" s="136" t="s">
        <v>259</v>
      </c>
      <c r="E284" s="140" t="s">
        <v>182</v>
      </c>
      <c r="F284" s="280" t="s">
        <v>183</v>
      </c>
      <c r="G284" s="280"/>
      <c r="H284" s="144" t="s">
        <v>259</v>
      </c>
      <c r="I284" s="140" t="s">
        <v>259</v>
      </c>
      <c r="J284" s="140" t="s">
        <v>26</v>
      </c>
      <c r="K284" s="135" t="str">
        <f>LEFT(Table_2[[#This Row],[Flt. ID]],2)&amp;RIGHT(Table_2[[#This Row],[Flt. ID]],3)</f>
        <v>UO117</v>
      </c>
      <c r="L284" s="131" t="str">
        <f>"H"&amp;ROW(Table_2[[#This Row],[A/C]])+1&amp;":H300"</f>
        <v>H285:H300</v>
      </c>
      <c r="M284" s="164">
        <f>IFERROR(
    IF(Table_2[[#This Row],[Arr/ Dep]]="A",
        IF(
            INDEX(B285:B529,MATCH(Table_2[[#This Row],[A/C]],H285:H529,0))
            - IF(Table_2[[#This Row],[ETA/ETD]]="",Table_2[[#This Row],[STA/STD]],Table_2[[#This Row],[ETA/ETD]]) &lt; 0,
            "ASAP",
            IF(Table_2[[#This Row],[ETA/ETD]]="",
                INDEX(B285:B529,MATCH(Table_2[[#This Row],[A/C]],H285:H529,0))-Table_2[[#This Row],[STA/STD]],
                INDEX(B285:B529,MATCH(Table_2[[#This Row],[A/C]],H285:H529,0))-Table_2[[#This Row],[ETA/ETD]])
        ),
        ""
    ),
"TBC")</f>
        <v>0</v>
      </c>
      <c r="N284" s="140" t="str" cm="1">
        <f t="array" ref="N284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4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4" s="135" t="str">
        <f>Table_2[[#This Row],[A/C]]&amp;Table_2[[#This Row],[Column2]]</f>
        <v>-UO117</v>
      </c>
      <c r="Q284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4" s="166" t="str">
        <f>IFERROR(Table_2[[#This Row],[UTC TIME]]-TIME(1,30,0),"")</f>
        <v/>
      </c>
      <c r="S284" s="141"/>
      <c r="T284" s="222"/>
      <c r="U284" s="114"/>
      <c r="V284" s="114"/>
      <c r="W284" s="114"/>
      <c r="X284" s="114"/>
      <c r="Y284" s="114"/>
    </row>
    <row r="285" spans="1:25" hidden="1">
      <c r="A285" s="140" t="s">
        <v>291</v>
      </c>
      <c r="B285" s="163">
        <v>46067.975694444445</v>
      </c>
      <c r="C285" s="163"/>
      <c r="D285" s="136" t="s">
        <v>259</v>
      </c>
      <c r="E285" s="140" t="s">
        <v>119</v>
      </c>
      <c r="F285" s="280" t="s">
        <v>120</v>
      </c>
      <c r="G285" s="280"/>
      <c r="H285" s="144" t="s">
        <v>259</v>
      </c>
      <c r="I285" s="140" t="s">
        <v>259</v>
      </c>
      <c r="J285" s="140" t="s">
        <v>26</v>
      </c>
      <c r="K285" s="135" t="str">
        <f>LEFT(Table_2[[#This Row],[Flt. ID]],2)&amp;RIGHT(Table_2[[#This Row],[Flt. ID]],3)</f>
        <v>UO755</v>
      </c>
      <c r="L285" s="131" t="str">
        <f>"H"&amp;ROW(Table_2[[#This Row],[A/C]])+1&amp;":H300"</f>
        <v>H286:H300</v>
      </c>
      <c r="M285" s="164">
        <f>IFERROR(
    IF(Table_2[[#This Row],[Arr/ Dep]]="A",
        IF(
            INDEX(B286:B530,MATCH(Table_2[[#This Row],[A/C]],H286:H530,0))
            - IF(Table_2[[#This Row],[ETA/ETD]]="",Table_2[[#This Row],[STA/STD]],Table_2[[#This Row],[ETA/ETD]]) &lt; 0,
            "ASAP",
            IF(Table_2[[#This Row],[ETA/ETD]]="",
                INDEX(B286:B530,MATCH(Table_2[[#This Row],[A/C]],H286:H530,0))-Table_2[[#This Row],[STA/STD]],
                INDEX(B286:B530,MATCH(Table_2[[#This Row],[A/C]],H286:H530,0))-Table_2[[#This Row],[ETA/ETD]])
        ),
        ""
    ),
"TBC")</f>
        <v>3.4722222189884633E-3</v>
      </c>
      <c r="N285" s="140" t="str" cm="1">
        <f t="array" ref="N285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5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5" s="135" t="str">
        <f>Table_2[[#This Row],[A/C]]&amp;Table_2[[#This Row],[Column2]]</f>
        <v>-UO755</v>
      </c>
      <c r="Q285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5" s="166" t="str">
        <f>IFERROR(Table_2[[#This Row],[UTC TIME]]-TIME(1,30,0),"")</f>
        <v/>
      </c>
      <c r="S285" s="141"/>
      <c r="T285" s="222"/>
      <c r="U285" s="114"/>
      <c r="V285" s="114"/>
      <c r="W285" s="114"/>
      <c r="X285" s="114"/>
      <c r="Y285" s="114"/>
    </row>
    <row r="286" spans="1:25" hidden="1">
      <c r="A286" s="140" t="s">
        <v>292</v>
      </c>
      <c r="B286" s="163">
        <v>46067.979166666664</v>
      </c>
      <c r="C286" s="163"/>
      <c r="D286" s="136" t="s">
        <v>259</v>
      </c>
      <c r="E286" s="140" t="s">
        <v>28</v>
      </c>
      <c r="F286" s="280" t="s">
        <v>29</v>
      </c>
      <c r="G286" s="280"/>
      <c r="H286" s="144" t="s">
        <v>259</v>
      </c>
      <c r="I286" s="140" t="s">
        <v>259</v>
      </c>
      <c r="J286" s="140" t="s">
        <v>26</v>
      </c>
      <c r="K286" s="135" t="str">
        <f>LEFT(Table_2[[#This Row],[Flt. ID]],2)&amp;RIGHT(Table_2[[#This Row],[Flt. ID]],3)</f>
        <v>UO647</v>
      </c>
      <c r="L286" s="131" t="str">
        <f>"H"&amp;ROW(Table_2[[#This Row],[A/C]])+1&amp;":H300"</f>
        <v>H287:H300</v>
      </c>
      <c r="M286" s="164">
        <f>IFERROR(
    IF(Table_2[[#This Row],[Arr/ Dep]]="A",
        IF(
            INDEX(B287:B531,MATCH(Table_2[[#This Row],[A/C]],H287:H531,0))
            - IF(Table_2[[#This Row],[ETA/ETD]]="",Table_2[[#This Row],[STA/STD]],Table_2[[#This Row],[ETA/ETD]]) &lt; 0,
            "ASAP",
            IF(Table_2[[#This Row],[ETA/ETD]]="",
                INDEX(B287:B531,MATCH(Table_2[[#This Row],[A/C]],H287:H531,0))-Table_2[[#This Row],[STA/STD]],
                INDEX(B287:B531,MATCH(Table_2[[#This Row],[A/C]],H287:H531,0))-Table_2[[#This Row],[ETA/ETD]])
        ),
        ""
    ),
"TBC")</f>
        <v>1.0416666671517305E-2</v>
      </c>
      <c r="N286" s="140" t="str" cm="1">
        <f t="array" ref="N286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6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6" s="135" t="str">
        <f>Table_2[[#This Row],[A/C]]&amp;Table_2[[#This Row],[Column2]]</f>
        <v>-UO647</v>
      </c>
      <c r="Q286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6" s="166" t="str">
        <f>IFERROR(Table_2[[#This Row],[UTC TIME]]-TIME(1,30,0),"")</f>
        <v/>
      </c>
      <c r="S286" s="141"/>
      <c r="T286" s="222"/>
      <c r="U286" s="114"/>
      <c r="V286" s="114"/>
      <c r="W286" s="114"/>
      <c r="X286" s="114"/>
      <c r="Y286" s="114"/>
    </row>
    <row r="287" spans="1:25" hidden="1">
      <c r="A287" s="140" t="s">
        <v>293</v>
      </c>
      <c r="B287" s="163">
        <v>46067.989583333336</v>
      </c>
      <c r="C287" s="163"/>
      <c r="D287" s="136" t="s">
        <v>259</v>
      </c>
      <c r="E287" s="140" t="s">
        <v>125</v>
      </c>
      <c r="F287" s="280" t="s">
        <v>126</v>
      </c>
      <c r="G287" s="280"/>
      <c r="H287" s="144" t="s">
        <v>259</v>
      </c>
      <c r="I287" s="140" t="s">
        <v>259</v>
      </c>
      <c r="J287" s="140" t="s">
        <v>26</v>
      </c>
      <c r="K287" s="135" t="str">
        <f>LEFT(Table_2[[#This Row],[Flt. ID]],2)&amp;RIGHT(Table_2[[#This Row],[Flt. ID]],3)</f>
        <v>UO713</v>
      </c>
      <c r="L287" s="131" t="str">
        <f>"H"&amp;ROW(Table_2[[#This Row],[A/C]])+1&amp;":H300"</f>
        <v>H288:H300</v>
      </c>
      <c r="M287" s="164">
        <f>IFERROR(
    IF(Table_2[[#This Row],[Arr/ Dep]]="A",
        IF(
            INDEX(B288:B532,MATCH(Table_2[[#This Row],[A/C]],H288:H532,0))
            - IF(Table_2[[#This Row],[ETA/ETD]]="",Table_2[[#This Row],[STA/STD]],Table_2[[#This Row],[ETA/ETD]]) &lt; 0,
            "ASAP",
            IF(Table_2[[#This Row],[ETA/ETD]]="",
                INDEX(B288:B532,MATCH(Table_2[[#This Row],[A/C]],H288:H532,0))-Table_2[[#This Row],[STA/STD]],
                INDEX(B288:B532,MATCH(Table_2[[#This Row],[A/C]],H288:H532,0))-Table_2[[#This Row],[ETA/ETD]])
        ),
        ""
    ),
"TBC")</f>
        <v>6.9444444452528842E-3</v>
      </c>
      <c r="N287" s="140" t="str" cm="1">
        <f t="array" ref="N287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7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7" s="135" t="str">
        <f>Table_2[[#This Row],[A/C]]&amp;Table_2[[#This Row],[Column2]]</f>
        <v>-UO713</v>
      </c>
      <c r="Q287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7" s="166" t="str">
        <f>IFERROR(Table_2[[#This Row],[UTC TIME]]-TIME(1,30,0),"")</f>
        <v/>
      </c>
      <c r="S287" s="141"/>
      <c r="T287" s="222"/>
      <c r="U287" s="114"/>
      <c r="V287" s="114"/>
      <c r="W287" s="114"/>
      <c r="X287" s="114"/>
      <c r="Y287" s="114"/>
    </row>
    <row r="288" spans="1:25" hidden="1">
      <c r="A288" s="140" t="s">
        <v>295</v>
      </c>
      <c r="B288" s="163">
        <v>46067.996527777781</v>
      </c>
      <c r="C288" s="163"/>
      <c r="D288" s="136" t="s">
        <v>259</v>
      </c>
      <c r="E288" s="140" t="s">
        <v>66</v>
      </c>
      <c r="F288" s="280" t="s">
        <v>67</v>
      </c>
      <c r="G288" s="280"/>
      <c r="H288" s="144" t="s">
        <v>259</v>
      </c>
      <c r="I288" s="140" t="s">
        <v>259</v>
      </c>
      <c r="J288" s="140" t="s">
        <v>42</v>
      </c>
      <c r="K288" s="135" t="str">
        <f>LEFT(Table_2[[#This Row],[Flt. ID]],2)&amp;RIGHT(Table_2[[#This Row],[Flt. ID]],3)</f>
        <v>UO624</v>
      </c>
      <c r="L288" s="131" t="str">
        <f>"H"&amp;ROW(Table_2[[#This Row],[A/C]])+1&amp;":H300"</f>
        <v>H289:H300</v>
      </c>
      <c r="M288" s="164" t="str">
        <f>IFERROR(
    IF(Table_2[[#This Row],[Arr/ Dep]]="A",
        IF(
            INDEX(B289:B533,MATCH(Table_2[[#This Row],[A/C]],H289:H533,0))
            - IF(Table_2[[#This Row],[ETA/ETD]]="",Table_2[[#This Row],[STA/STD]],Table_2[[#This Row],[ETA/ETD]]) &lt; 0,
            "ASAP",
            IF(Table_2[[#This Row],[ETA/ETD]]="",
                INDEX(B289:B533,MATCH(Table_2[[#This Row],[A/C]],H289:H533,0))-Table_2[[#This Row],[STA/STD]],
                INDEX(B289:B533,MATCH(Table_2[[#This Row],[A/C]],H289:H533,0))-Table_2[[#This Row],[ETA/ETD]])
        ),
        ""
    ),
"TBC")</f>
        <v/>
      </c>
      <c r="N288" s="140" t="str" cm="1">
        <f t="array" ref="N288">IF(Table_2[[#This Row],[Arr/ Dep]]="A",_xlfn.TEXTJOIN(",",TRUE,_xlfn._xlws.FILTER(DWA!F$1:F$295,Table_2[[#This Row],[Ide]]&amp;Table_2[[#This Row],[Date]]=DWA!I$1:I$295&amp;DWA!C$1:C$295,"")),_xlfn.TEXTJOIN(",",TRUE,_xlfn._xlws.FILTER(DWA!F$1:F$295,(Table_2[[#This Row],[Ide]]&amp;Table_2[[#This Row],[Date]]=DWA!A$1:A$295&amp;DWA!D$1:D$295&amp;DWA!E$1:E$295)*((DWA!F$1:F$295="72H")+(DWA!F$1:F$295="10D")+(DWA!F$1:F$295="UNDITCH")+(DWA!F$1:F$295="Casl")),"")))</f>
        <v/>
      </c>
      <c r="O288" s="165">
        <f>IF(HOUR(Table_2[[#This Row],[STA/STD]])&lt;7,IF(DAY(Table_2[[#This Row],[STA/STD]])=1,DATE(YEAR(Table_2[[#This Row],[STA/STD]]),MONTH(Table_2[[#This Row],[STA/STD]]-1),31),DATE(YEAR(Table_2[[#This Row],[STA/STD]]),MONTH(Table_2[[#This Row],[STA/STD]]),DAY(Table_2[[#This Row],[STA/STD]]-1))),DATE(YEAR(Table_2[[#This Row],[STA/STD]]),MONTH(Table_2[[#This Row],[STA/STD]]),DAY(Table_2[[#This Row],[STA/STD]])))</f>
        <v>46067</v>
      </c>
      <c r="P288" s="135" t="str">
        <f>Table_2[[#This Row],[A/C]]&amp;Table_2[[#This Row],[Column2]]</f>
        <v>-UO624</v>
      </c>
      <c r="Q288" s="166" t="str">
        <f>IF(Table_2[[#This Row],[Arr/ Dep]]="D",IF(OR(Table_2[[#This Row],[Work]]="72H",Table_2[[#This Row],[Work]]="10D",Table_2[[#This Row],[Work]]="72H,10D",Table_2[[#This Row],[Work]]="10D,72H"),Table_2[[#This Row],[STA/STD]]-TIME(8,0,0),""),"")</f>
        <v/>
      </c>
      <c r="R288" s="166" t="str">
        <f>IFERROR(Table_2[[#This Row],[UTC TIME]]-TIME(1,30,0),"")</f>
        <v/>
      </c>
      <c r="S288" s="141"/>
      <c r="T288" s="222"/>
      <c r="U288" s="114"/>
      <c r="V288" s="114"/>
      <c r="W288" s="114"/>
      <c r="X288" s="114"/>
      <c r="Y288" s="114"/>
    </row>
    <row r="289" spans="14:25">
      <c r="N289" s="162"/>
      <c r="R289" s="190"/>
      <c r="S289" s="141"/>
      <c r="T289" s="222"/>
      <c r="U289" s="114"/>
      <c r="V289" s="114"/>
      <c r="W289" s="114"/>
      <c r="X289" s="114"/>
      <c r="Y289" s="114"/>
    </row>
    <row r="290" spans="14:25">
      <c r="N290" s="162"/>
      <c r="R290" s="190"/>
      <c r="S290" s="141"/>
      <c r="T290" s="222"/>
      <c r="U290" s="114"/>
      <c r="V290" s="114"/>
      <c r="W290" s="114"/>
      <c r="X290" s="114"/>
      <c r="Y290" s="114"/>
    </row>
    <row r="291" spans="14:25">
      <c r="N291" s="162"/>
      <c r="O291" s="155"/>
      <c r="R291" s="218"/>
      <c r="S291" s="141"/>
      <c r="T291" s="222"/>
      <c r="U291" s="114"/>
      <c r="V291" s="114"/>
      <c r="W291" s="114"/>
      <c r="X291" s="114"/>
      <c r="Y291" s="114"/>
    </row>
    <row r="292" spans="14:25">
      <c r="N292" s="162"/>
      <c r="S292" s="141"/>
      <c r="T292" s="214"/>
    </row>
    <row r="293" spans="14:25">
      <c r="N293" s="162"/>
      <c r="S293" s="141"/>
      <c r="T293" s="138"/>
    </row>
    <row r="294" spans="14:25">
      <c r="S294" s="141"/>
      <c r="T294" s="138"/>
    </row>
    <row r="295" spans="14:25">
      <c r="S295" s="141"/>
      <c r="T295" s="138"/>
    </row>
    <row r="296" spans="14:25">
      <c r="S296" s="141"/>
      <c r="T296" s="138"/>
    </row>
    <row r="297" spans="14:25">
      <c r="S297" s="141"/>
      <c r="T297" s="138"/>
    </row>
    <row r="298" spans="14:25">
      <c r="S298" s="141"/>
      <c r="T298" s="138"/>
    </row>
    <row r="299" spans="14:25">
      <c r="S299" s="141"/>
      <c r="T299" s="138"/>
    </row>
    <row r="300" spans="14:25">
      <c r="S300" s="141"/>
      <c r="T300" s="138"/>
    </row>
    <row r="301" spans="14:25">
      <c r="S301" s="141"/>
      <c r="T301" s="138"/>
    </row>
    <row r="302" spans="14:25">
      <c r="S302" s="141"/>
      <c r="T302" s="138"/>
    </row>
    <row r="303" spans="14:25">
      <c r="S303" s="141"/>
      <c r="T303" s="138"/>
    </row>
    <row r="304" spans="14:25">
      <c r="S304" s="141"/>
      <c r="T304" s="138"/>
    </row>
    <row r="305" spans="19:20">
      <c r="S305" s="141"/>
      <c r="T305" s="138"/>
    </row>
    <row r="306" spans="19:20">
      <c r="S306" s="141"/>
      <c r="T306" s="138"/>
    </row>
    <row r="307" spans="19:20">
      <c r="S307" s="141"/>
      <c r="T307" s="138"/>
    </row>
    <row r="308" spans="19:20">
      <c r="S308" s="141"/>
      <c r="T308" s="138"/>
    </row>
    <row r="309" spans="19:20">
      <c r="S309" s="141"/>
      <c r="T309" s="138"/>
    </row>
    <row r="310" spans="19:20">
      <c r="S310" s="141"/>
      <c r="T310" s="138"/>
    </row>
    <row r="311" spans="19:20">
      <c r="S311" s="141"/>
      <c r="T311" s="138"/>
    </row>
    <row r="312" spans="19:20">
      <c r="S312" s="141"/>
      <c r="T312" s="138"/>
    </row>
    <row r="313" spans="19:20">
      <c r="S313" s="141"/>
      <c r="T313" s="138"/>
    </row>
    <row r="314" spans="19:20">
      <c r="S314" s="141"/>
      <c r="T314" s="138"/>
    </row>
    <row r="315" spans="19:20">
      <c r="S315" s="141"/>
      <c r="T315" s="138"/>
    </row>
    <row r="316" spans="19:20">
      <c r="S316" s="141"/>
      <c r="T316" s="138"/>
    </row>
    <row r="317" spans="19:20">
      <c r="S317" s="141"/>
      <c r="T317" s="138"/>
    </row>
    <row r="318" spans="19:20">
      <c r="S318" s="141"/>
      <c r="T318" s="138"/>
    </row>
    <row r="319" spans="19:20">
      <c r="S319" s="141"/>
      <c r="T319" s="138"/>
    </row>
    <row r="320" spans="19:20">
      <c r="S320" s="141"/>
      <c r="T320" s="138"/>
    </row>
    <row r="321" spans="19:20">
      <c r="S321" s="141"/>
      <c r="T321" s="139"/>
    </row>
    <row r="322" spans="19:20">
      <c r="S322" s="141"/>
    </row>
    <row r="323" spans="19:20">
      <c r="S323" s="141"/>
    </row>
    <row r="324" spans="19:20">
      <c r="S324" s="141"/>
    </row>
    <row r="325" spans="19:20">
      <c r="S325" s="141"/>
    </row>
    <row r="326" spans="19:20">
      <c r="S326" s="141"/>
    </row>
    <row r="327" spans="19:20">
      <c r="S327" s="141"/>
    </row>
    <row r="328" spans="19:20">
      <c r="S328" s="141"/>
    </row>
    <row r="329" spans="19:20">
      <c r="S329" s="141"/>
    </row>
    <row r="330" spans="19:20">
      <c r="S330" s="141"/>
    </row>
    <row r="331" spans="19:20">
      <c r="S331" s="141"/>
    </row>
    <row r="332" spans="19:20">
      <c r="S332" s="141"/>
    </row>
    <row r="333" spans="19:20">
      <c r="S333" s="141"/>
    </row>
    <row r="334" spans="19:20">
      <c r="S334" s="141"/>
    </row>
    <row r="335" spans="19:20">
      <c r="S335" s="141"/>
    </row>
    <row r="336" spans="19:20">
      <c r="S336" s="141"/>
    </row>
    <row r="337" spans="19:19">
      <c r="S337" s="141"/>
    </row>
    <row r="338" spans="19:19">
      <c r="S338" s="141"/>
    </row>
    <row r="339" spans="19:19">
      <c r="S339" s="141"/>
    </row>
    <row r="340" spans="19:19">
      <c r="S340" s="141"/>
    </row>
    <row r="341" spans="19:19">
      <c r="S341" s="141"/>
    </row>
    <row r="342" spans="19:19">
      <c r="S342" s="141"/>
    </row>
    <row r="343" spans="19:19">
      <c r="S343" s="141"/>
    </row>
    <row r="344" spans="19:19">
      <c r="S344" s="141"/>
    </row>
    <row r="345" spans="19:19">
      <c r="S345" s="141"/>
    </row>
    <row r="346" spans="19:19">
      <c r="S346" s="141"/>
    </row>
    <row r="347" spans="19:19">
      <c r="S347" s="141"/>
    </row>
    <row r="348" spans="19:19">
      <c r="S348" s="141"/>
    </row>
    <row r="349" spans="19:19">
      <c r="S349" s="141"/>
    </row>
    <row r="350" spans="19:19">
      <c r="S350" s="141"/>
    </row>
    <row r="351" spans="19:19"/>
    <row r="352" spans="19:19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</sheetData>
  <phoneticPr fontId="19" type="noConversion"/>
  <conditionalFormatting sqref="L289:L1048576 B119 B1:C1 B3:C118 J1:J288 M3:M288 B120:C288">
    <cfRule type="cellIs" dxfId="170" priority="197" operator="equal">
      <formula>"D"</formula>
    </cfRule>
    <cfRule type="cellIs" dxfId="169" priority="1642" operator="equal">
      <formula>"A"</formula>
    </cfRule>
  </conditionalFormatting>
  <conditionalFormatting sqref="H1:H20 H249:H257 H22:H247 H259:H261 H263:H265">
    <cfRule type="expression" dxfId="168" priority="156">
      <formula>$S1="h"</formula>
    </cfRule>
    <cfRule type="expression" dxfId="167" priority="157">
      <formula>$S1="c"</formula>
    </cfRule>
    <cfRule type="expression" dxfId="166" priority="158">
      <formula>$S1=4</formula>
    </cfRule>
    <cfRule type="expression" dxfId="165" priority="159">
      <formula>OR($S1="JF",$S1="FJ")</formula>
    </cfRule>
    <cfRule type="expression" dxfId="164" priority="160">
      <formula>OR($S1="JT",$S1="TJ")</formula>
    </cfRule>
    <cfRule type="expression" dxfId="163" priority="161">
      <formula>OR($S1="FT",$S1="TF")</formula>
    </cfRule>
    <cfRule type="expression" dxfId="162" priority="162">
      <formula>$S1="F"</formula>
    </cfRule>
    <cfRule type="expression" dxfId="161" priority="163">
      <formula>$S1="J"</formula>
    </cfRule>
    <cfRule type="expression" dxfId="160" priority="211">
      <formula>$S1="T"</formula>
    </cfRule>
    <cfRule type="expression" dxfId="159" priority="212">
      <formula>$S1="B"</formula>
    </cfRule>
    <cfRule type="expression" dxfId="158" priority="213">
      <formula>$S1="D"</formula>
    </cfRule>
  </conditionalFormatting>
  <conditionalFormatting sqref="M1">
    <cfRule type="cellIs" dxfId="157" priority="142" operator="equal">
      <formula>"D"</formula>
    </cfRule>
    <cfRule type="cellIs" dxfId="156" priority="196" operator="equal">
      <formula>"A"</formula>
    </cfRule>
  </conditionalFormatting>
  <conditionalFormatting sqref="M2:M288">
    <cfRule type="cellIs" dxfId="155" priority="140" operator="greaterThan">
      <formula>0.25</formula>
    </cfRule>
  </conditionalFormatting>
  <conditionalFormatting sqref="N289:N1048576 M1:M288">
    <cfRule type="containsText" dxfId="154" priority="71" operator="containsText" text="ASAP">
      <formula>NOT(ISERROR(SEARCH("ASAP",M1)))</formula>
    </cfRule>
    <cfRule type="containsText" dxfId="153" priority="99" operator="containsText" text="TBC">
      <formula>NOT(ISERROR(SEARCH("TBC",M1)))</formula>
    </cfRule>
    <cfRule type="containsBlanks" priority="139" stopIfTrue="1">
      <formula>LEN(TRIM(M1))=0</formula>
    </cfRule>
    <cfRule type="cellIs" dxfId="152" priority="141" operator="lessThan">
      <formula>0.25</formula>
    </cfRule>
  </conditionalFormatting>
  <conditionalFormatting sqref="H21">
    <cfRule type="expression" dxfId="151" priority="1521">
      <formula>$S21="h"</formula>
    </cfRule>
    <cfRule type="expression" dxfId="150" priority="1522">
      <formula>$S21="c"</formula>
    </cfRule>
    <cfRule type="expression" dxfId="149" priority="1523">
      <formula>$S21=4</formula>
    </cfRule>
    <cfRule type="expression" dxfId="148" priority="1524">
      <formula>OR($S21="JF",$S21="FJ")</formula>
    </cfRule>
    <cfRule type="expression" dxfId="147" priority="1525">
      <formula>OR($S21="JT",$S21="TJ")</formula>
    </cfRule>
    <cfRule type="expression" dxfId="146" priority="1526">
      <formula>OR($S21="FT",$S21="TF")</formula>
    </cfRule>
    <cfRule type="expression" dxfId="145" priority="1527">
      <formula>$S21="F"</formula>
    </cfRule>
    <cfRule type="expression" dxfId="144" priority="1528">
      <formula>$S21="J"</formula>
    </cfRule>
    <cfRule type="expression" dxfId="143" priority="1529">
      <formula>$S21="T"</formula>
    </cfRule>
    <cfRule type="expression" dxfId="142" priority="1530">
      <formula>$S21="B"</formula>
    </cfRule>
    <cfRule type="expression" dxfId="141" priority="1531">
      <formula>$S21="D"</formula>
    </cfRule>
  </conditionalFormatting>
  <conditionalFormatting sqref="H248">
    <cfRule type="expression" dxfId="140" priority="1555">
      <formula>$S248="h"</formula>
    </cfRule>
    <cfRule type="expression" dxfId="139" priority="1556">
      <formula>$S248="c"</formula>
    </cfRule>
    <cfRule type="expression" dxfId="138" priority="1557">
      <formula>$S248=4</formula>
    </cfRule>
    <cfRule type="expression" dxfId="137" priority="1558">
      <formula>OR($S248="JF",$S248="FJ")</formula>
    </cfRule>
    <cfRule type="expression" dxfId="136" priority="1559">
      <formula>OR($S248="JT",$S248="TJ")</formula>
    </cfRule>
    <cfRule type="expression" dxfId="135" priority="1560">
      <formula>OR($S248="FT",$S248="TF")</formula>
    </cfRule>
    <cfRule type="expression" dxfId="134" priority="1561">
      <formula>$S248="F"</formula>
    </cfRule>
    <cfRule type="expression" dxfId="133" priority="1562">
      <formula>$S248="J"</formula>
    </cfRule>
    <cfRule type="expression" dxfId="132" priority="1563">
      <formula>$S248="T"</formula>
    </cfRule>
    <cfRule type="expression" dxfId="131" priority="1564">
      <formula>$S248="B"</formula>
    </cfRule>
    <cfRule type="expression" dxfId="130" priority="1565">
      <formula>$S248="D"</formula>
    </cfRule>
  </conditionalFormatting>
  <conditionalFormatting sqref="S125:S127 T273:T1048576 S129:S272 S1:S123">
    <cfRule type="containsText" dxfId="129" priority="94" operator="containsText" text="Dylan Chen">
      <formula>NOT(ISERROR(SEARCH("Dylan Chen",S1)))</formula>
    </cfRule>
    <cfRule type="containsText" dxfId="128" priority="95" operator="containsText" text="William Kwan">
      <formula>NOT(ISERROR(SEARCH("William Kwan",S1)))</formula>
    </cfRule>
    <cfRule type="containsText" dxfId="127" priority="96" operator="containsText" text="Michael Chen">
      <formula>NOT(ISERROR(SEARCH("Michael Chen",S1)))</formula>
    </cfRule>
    <cfRule type="containsText" dxfId="126" priority="97" operator="containsText" text="Melvin Kwok">
      <formula>NOT(ISERROR(SEARCH("Melvin Kwok",S1)))</formula>
    </cfRule>
    <cfRule type="containsText" dxfId="125" priority="98" operator="containsText" text="Elliot Chiu">
      <formula>NOT(ISERROR(SEARCH("Elliot Chiu",S1)))</formula>
    </cfRule>
    <cfRule type="containsText" dxfId="124" priority="130" operator="containsText" text="Jeffrey">
      <formula>NOT(ISERROR(SEARCH("Jeffrey",S1)))</formula>
    </cfRule>
    <cfRule type="containsText" dxfId="123" priority="131" operator="containsText" text="Jacky ">
      <formula>NOT(ISERROR(SEARCH("Jacky ",S1)))</formula>
    </cfRule>
    <cfRule type="containsText" dxfId="122" priority="132" operator="containsText" text="Dewey">
      <formula>NOT(ISERROR(SEARCH("Dewey",S1)))</formula>
    </cfRule>
    <cfRule type="containsText" dxfId="121" priority="134" operator="containsText" text="Jack Huen">
      <formula>NOT(ISERROR(SEARCH("Jack Huen",S1)))</formula>
    </cfRule>
    <cfRule type="containsText" dxfId="120" priority="135" operator="containsText" text="Terrell">
      <formula>NOT(ISERROR(SEARCH("Terrell",S1)))</formula>
    </cfRule>
  </conditionalFormatting>
  <conditionalFormatting sqref="H258">
    <cfRule type="expression" dxfId="119" priority="1589">
      <formula>$S261="h"</formula>
    </cfRule>
    <cfRule type="expression" dxfId="118" priority="1590">
      <formula>$S261="c"</formula>
    </cfRule>
    <cfRule type="expression" dxfId="117" priority="1591">
      <formula>$S261=4</formula>
    </cfRule>
    <cfRule type="expression" dxfId="116" priority="1592">
      <formula>OR($S261="JF",$S261="FJ")</formula>
    </cfRule>
    <cfRule type="expression" dxfId="115" priority="1593">
      <formula>OR($S261="JT",$S261="TJ")</formula>
    </cfRule>
    <cfRule type="expression" dxfId="114" priority="1594">
      <formula>OR($S261="FT",$S261="TF")</formula>
    </cfRule>
    <cfRule type="expression" dxfId="113" priority="1595">
      <formula>$S261="F"</formula>
    </cfRule>
    <cfRule type="expression" dxfId="112" priority="1596">
      <formula>$S261="J"</formula>
    </cfRule>
    <cfRule type="expression" dxfId="111" priority="1597">
      <formula>$S261="T"</formula>
    </cfRule>
    <cfRule type="expression" dxfId="110" priority="1598">
      <formula>$S261="B"</formula>
    </cfRule>
    <cfRule type="expression" dxfId="109" priority="1599">
      <formula>$S261="D"</formula>
    </cfRule>
  </conditionalFormatting>
  <conditionalFormatting sqref="H262">
    <cfRule type="expression" dxfId="108" priority="1631">
      <formula>$S255="h"</formula>
    </cfRule>
    <cfRule type="expression" dxfId="107" priority="1632">
      <formula>$S255="c"</formula>
    </cfRule>
    <cfRule type="expression" dxfId="106" priority="1633">
      <formula>$S255=4</formula>
    </cfRule>
    <cfRule type="expression" dxfId="105" priority="1634">
      <formula>OR($S255="JF",$S255="FJ")</formula>
    </cfRule>
    <cfRule type="expression" dxfId="104" priority="1635">
      <formula>OR($S255="JT",$S255="TJ")</formula>
    </cfRule>
    <cfRule type="expression" dxfId="103" priority="1636">
      <formula>OR($S255="FT",$S255="TF")</formula>
    </cfRule>
    <cfRule type="expression" dxfId="102" priority="1637">
      <formula>$S255="F"</formula>
    </cfRule>
    <cfRule type="expression" dxfId="101" priority="1638">
      <formula>$S255="J"</formula>
    </cfRule>
    <cfRule type="expression" dxfId="100" priority="1639">
      <formula>$S255="T"</formula>
    </cfRule>
    <cfRule type="expression" dxfId="99" priority="1640">
      <formula>$S255="B"</formula>
    </cfRule>
    <cfRule type="expression" dxfId="98" priority="1641">
      <formula>$S255="D"</formula>
    </cfRule>
  </conditionalFormatting>
  <conditionalFormatting sqref="T128">
    <cfRule type="containsText" dxfId="97" priority="51" operator="containsText" text="Dylan Chen">
      <formula>NOT(ISERROR(SEARCH("Dylan Chen",T128)))</formula>
    </cfRule>
    <cfRule type="containsText" dxfId="96" priority="52" operator="containsText" text="William Kwan">
      <formula>NOT(ISERROR(SEARCH("William Kwan",T128)))</formula>
    </cfRule>
    <cfRule type="containsText" dxfId="95" priority="53" operator="containsText" text="Michael Chen">
      <formula>NOT(ISERROR(SEARCH("Michael Chen",T128)))</formula>
    </cfRule>
    <cfRule type="containsText" dxfId="94" priority="54" operator="containsText" text="Melvin Kwok">
      <formula>NOT(ISERROR(SEARCH("Melvin Kwok",T128)))</formula>
    </cfRule>
    <cfRule type="containsText" dxfId="93" priority="55" operator="containsText" text="Elliot Chiu">
      <formula>NOT(ISERROR(SEARCH("Elliot Chiu",T128)))</formula>
    </cfRule>
    <cfRule type="containsText" dxfId="92" priority="56" operator="containsText" text="Jeffrey">
      <formula>NOT(ISERROR(SEARCH("Jeffrey",T128)))</formula>
    </cfRule>
    <cfRule type="containsText" dxfId="91" priority="57" operator="containsText" text="Jacky ">
      <formula>NOT(ISERROR(SEARCH("Jacky ",T128)))</formula>
    </cfRule>
    <cfRule type="containsText" dxfId="90" priority="58" operator="containsText" text="Dewey">
      <formula>NOT(ISERROR(SEARCH("Dewey",T128)))</formula>
    </cfRule>
    <cfRule type="containsText" dxfId="89" priority="59" operator="containsText" text="Jack Huen">
      <formula>NOT(ISERROR(SEARCH("Jack Huen",T128)))</formula>
    </cfRule>
    <cfRule type="containsText" dxfId="88" priority="60" operator="containsText" text="Terrell">
      <formula>NOT(ISERROR(SEARCH("Terrell",T128)))</formula>
    </cfRule>
  </conditionalFormatting>
  <conditionalFormatting sqref="S128">
    <cfRule type="containsText" dxfId="87" priority="41" operator="containsText" text="Dylan Chen">
      <formula>NOT(ISERROR(SEARCH("Dylan Chen",S128)))</formula>
    </cfRule>
    <cfRule type="containsText" dxfId="86" priority="42" operator="containsText" text="William Kwan">
      <formula>NOT(ISERROR(SEARCH("William Kwan",S128)))</formula>
    </cfRule>
    <cfRule type="containsText" dxfId="85" priority="43" operator="containsText" text="Michael Chen">
      <formula>NOT(ISERROR(SEARCH("Michael Chen",S128)))</formula>
    </cfRule>
    <cfRule type="containsText" dxfId="84" priority="44" operator="containsText" text="Melvin Kwok">
      <formula>NOT(ISERROR(SEARCH("Melvin Kwok",S128)))</formula>
    </cfRule>
    <cfRule type="containsText" dxfId="83" priority="45" operator="containsText" text="Elliot Chiu">
      <formula>NOT(ISERROR(SEARCH("Elliot Chiu",S128)))</formula>
    </cfRule>
    <cfRule type="containsText" dxfId="82" priority="46" operator="containsText" text="Jeffrey">
      <formula>NOT(ISERROR(SEARCH("Jeffrey",S128)))</formula>
    </cfRule>
    <cfRule type="containsText" dxfId="81" priority="47" operator="containsText" text="Jacky ">
      <formula>NOT(ISERROR(SEARCH("Jacky ",S128)))</formula>
    </cfRule>
    <cfRule type="containsText" dxfId="80" priority="48" operator="containsText" text="Dewey">
      <formula>NOT(ISERROR(SEARCH("Dewey",S128)))</formula>
    </cfRule>
    <cfRule type="containsText" dxfId="79" priority="49" operator="containsText" text="Jack Huen">
      <formula>NOT(ISERROR(SEARCH("Jack Huen",S128)))</formula>
    </cfRule>
    <cfRule type="containsText" dxfId="78" priority="50" operator="containsText" text="Terrell">
      <formula>NOT(ISERROR(SEARCH("Terrell",S128)))</formula>
    </cfRule>
  </conditionalFormatting>
  <conditionalFormatting sqref="S124">
    <cfRule type="containsText" dxfId="77" priority="31" operator="containsText" text="Dylan Chen">
      <formula>NOT(ISERROR(SEARCH("Dylan Chen",S124)))</formula>
    </cfRule>
    <cfRule type="containsText" dxfId="76" priority="32" operator="containsText" text="William Kwan">
      <formula>NOT(ISERROR(SEARCH("William Kwan",S124)))</formula>
    </cfRule>
    <cfRule type="containsText" dxfId="75" priority="33" operator="containsText" text="Michael Chen">
      <formula>NOT(ISERROR(SEARCH("Michael Chen",S124)))</formula>
    </cfRule>
    <cfRule type="containsText" dxfId="74" priority="34" operator="containsText" text="Melvin Kwok">
      <formula>NOT(ISERROR(SEARCH("Melvin Kwok",S124)))</formula>
    </cfRule>
    <cfRule type="containsText" dxfId="73" priority="35" operator="containsText" text="Elliot Chiu">
      <formula>NOT(ISERROR(SEARCH("Elliot Chiu",S124)))</formula>
    </cfRule>
    <cfRule type="containsText" dxfId="72" priority="36" operator="containsText" text="Jeffrey">
      <formula>NOT(ISERROR(SEARCH("Jeffrey",S124)))</formula>
    </cfRule>
    <cfRule type="containsText" dxfId="71" priority="37" operator="containsText" text="Jacky ">
      <formula>NOT(ISERROR(SEARCH("Jacky ",S124)))</formula>
    </cfRule>
    <cfRule type="containsText" dxfId="70" priority="38" operator="containsText" text="Dewey">
      <formula>NOT(ISERROR(SEARCH("Dewey",S124)))</formula>
    </cfRule>
    <cfRule type="containsText" dxfId="69" priority="39" operator="containsText" text="Jack Huen">
      <formula>NOT(ISERROR(SEARCH("Jack Huen",S124)))</formula>
    </cfRule>
    <cfRule type="containsText" dxfId="68" priority="40" operator="containsText" text="Terrell">
      <formula>NOT(ISERROR(SEARCH("Terrell",S124)))</formula>
    </cfRule>
  </conditionalFormatting>
  <conditionalFormatting sqref="T124">
    <cfRule type="containsText" dxfId="67" priority="21" operator="containsText" text="Dylan Chen">
      <formula>NOT(ISERROR(SEARCH("Dylan Chen",T124)))</formula>
    </cfRule>
    <cfRule type="containsText" dxfId="66" priority="22" operator="containsText" text="William Kwan">
      <formula>NOT(ISERROR(SEARCH("William Kwan",T124)))</formula>
    </cfRule>
    <cfRule type="containsText" dxfId="65" priority="23" operator="containsText" text="Michael Chen">
      <formula>NOT(ISERROR(SEARCH("Michael Chen",T124)))</formula>
    </cfRule>
    <cfRule type="containsText" dxfId="64" priority="24" operator="containsText" text="Melvin Kwok">
      <formula>NOT(ISERROR(SEARCH("Melvin Kwok",T124)))</formula>
    </cfRule>
    <cfRule type="containsText" dxfId="63" priority="25" operator="containsText" text="Elliot Chiu">
      <formula>NOT(ISERROR(SEARCH("Elliot Chiu",T124)))</formula>
    </cfRule>
    <cfRule type="containsText" dxfId="62" priority="26" operator="containsText" text="Jeffrey">
      <formula>NOT(ISERROR(SEARCH("Jeffrey",T124)))</formula>
    </cfRule>
    <cfRule type="containsText" dxfId="61" priority="27" operator="containsText" text="Jacky ">
      <formula>NOT(ISERROR(SEARCH("Jacky ",T124)))</formula>
    </cfRule>
    <cfRule type="containsText" dxfId="60" priority="28" operator="containsText" text="Dewey">
      <formula>NOT(ISERROR(SEARCH("Dewey",T124)))</formula>
    </cfRule>
    <cfRule type="containsText" dxfId="59" priority="29" operator="containsText" text="Jack Huen">
      <formula>NOT(ISERROR(SEARCH("Jack Huen",T124)))</formula>
    </cfRule>
    <cfRule type="containsText" dxfId="58" priority="30" operator="containsText" text="Terrell">
      <formula>NOT(ISERROR(SEARCH("Terrell",T124)))</formula>
    </cfRule>
  </conditionalFormatting>
  <conditionalFormatting sqref="H266 H268:H276 H278:H287">
    <cfRule type="expression" dxfId="57" priority="1676">
      <formula>$S268="h"</formula>
    </cfRule>
    <cfRule type="expression" dxfId="56" priority="1677">
      <formula>$S268="c"</formula>
    </cfRule>
    <cfRule type="expression" dxfId="55" priority="1678">
      <formula>$S268=4</formula>
    </cfRule>
    <cfRule type="expression" dxfId="54" priority="1679">
      <formula>OR($S268="JF",$S268="FJ")</formula>
    </cfRule>
    <cfRule type="expression" dxfId="53" priority="1680">
      <formula>OR($S268="JT",$S268="TJ")</formula>
    </cfRule>
    <cfRule type="expression" dxfId="52" priority="1681">
      <formula>OR($S268="FT",$S268="TF")</formula>
    </cfRule>
    <cfRule type="expression" dxfId="51" priority="1682">
      <formula>$S268="F"</formula>
    </cfRule>
    <cfRule type="expression" dxfId="50" priority="1683">
      <formula>$S268="J"</formula>
    </cfRule>
    <cfRule type="expression" dxfId="49" priority="1684">
      <formula>$S268="T"</formula>
    </cfRule>
    <cfRule type="expression" dxfId="48" priority="1685">
      <formula>$S268="B"</formula>
    </cfRule>
    <cfRule type="expression" dxfId="47" priority="1686">
      <formula>$S268="D"</formula>
    </cfRule>
  </conditionalFormatting>
  <conditionalFormatting sqref="H267">
    <cfRule type="expression" dxfId="46" priority="1720">
      <formula>$S259="h"</formula>
    </cfRule>
    <cfRule type="expression" dxfId="45" priority="1721">
      <formula>$S259="c"</formula>
    </cfRule>
    <cfRule type="expression" dxfId="44" priority="1722">
      <formula>$S259=4</formula>
    </cfRule>
    <cfRule type="expression" dxfId="43" priority="1723">
      <formula>OR($S259="JF",$S259="FJ")</formula>
    </cfRule>
    <cfRule type="expression" dxfId="42" priority="1724">
      <formula>OR($S259="JT",$S259="TJ")</formula>
    </cfRule>
    <cfRule type="expression" dxfId="41" priority="1725">
      <formula>OR($S259="FT",$S259="TF")</formula>
    </cfRule>
    <cfRule type="expression" dxfId="40" priority="1726">
      <formula>$S259="F"</formula>
    </cfRule>
    <cfRule type="expression" dxfId="39" priority="1727">
      <formula>$S259="J"</formula>
    </cfRule>
    <cfRule type="expression" dxfId="38" priority="1728">
      <formula>$S259="T"</formula>
    </cfRule>
    <cfRule type="expression" dxfId="37" priority="1729">
      <formula>$S259="B"</formula>
    </cfRule>
    <cfRule type="expression" dxfId="36" priority="1730">
      <formula>$S259="D"</formula>
    </cfRule>
  </conditionalFormatting>
  <conditionalFormatting sqref="H288 H277">
    <cfRule type="expression" dxfId="35" priority="1764">
      <formula>$S258="h"</formula>
    </cfRule>
    <cfRule type="expression" dxfId="34" priority="1765">
      <formula>$S258="c"</formula>
    </cfRule>
    <cfRule type="expression" dxfId="33" priority="1766">
      <formula>$S258=4</formula>
    </cfRule>
    <cfRule type="expression" dxfId="32" priority="1767">
      <formula>OR($S258="JF",$S258="FJ")</formula>
    </cfRule>
    <cfRule type="expression" dxfId="31" priority="1768">
      <formula>OR($S258="JT",$S258="TJ")</formula>
    </cfRule>
    <cfRule type="expression" dxfId="30" priority="1769">
      <formula>OR($S258="FT",$S258="TF")</formula>
    </cfRule>
    <cfRule type="expression" dxfId="29" priority="1770">
      <formula>$S258="F"</formula>
    </cfRule>
    <cfRule type="expression" dxfId="28" priority="1771">
      <formula>$S258="J"</formula>
    </cfRule>
    <cfRule type="expression" dxfId="27" priority="1772">
      <formula>$S258="T"</formula>
    </cfRule>
    <cfRule type="expression" dxfId="26" priority="1773">
      <formula>$S258="B"</formula>
    </cfRule>
    <cfRule type="expression" dxfId="25" priority="1774">
      <formula>$S258="D"</formula>
    </cfRule>
  </conditionalFormatting>
  <dataValidations count="1">
    <dataValidation type="list" allowBlank="1" showInputMessage="1" showErrorMessage="1" sqref="U1" xr:uid="{4F2EB4DE-73BB-4E04-8753-B17CDC39F628}">
      <formula1>"T1,T2,T3,T4"</formula1>
    </dataValidation>
  </dataValidations>
  <pageMargins left="0.7" right="0.7" top="0.75" bottom="0.75" header="0.3" footer="0.3"/>
  <pageSetup paperSize="9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62" r:id="rId4" name="Label1">
          <controlPr defaultSize="0" autoLine="0" autoPict="0" r:id="rId5">
            <anchor moveWithCells="1">
              <from>
                <xdr:col>22</xdr:col>
                <xdr:colOff>0</xdr:colOff>
                <xdr:row>276</xdr:row>
                <xdr:rowOff>0</xdr:rowOff>
              </from>
              <to>
                <xdr:col>24</xdr:col>
                <xdr:colOff>47625</xdr:colOff>
                <xdr:row>391</xdr:row>
                <xdr:rowOff>0</xdr:rowOff>
              </to>
            </anchor>
          </controlPr>
        </control>
      </mc:Choice>
      <mc:Fallback>
        <control shapeId="2062" r:id="rId4" name="Label1"/>
      </mc:Fallback>
    </mc:AlternateContent>
    <mc:AlternateContent xmlns:mc="http://schemas.openxmlformats.org/markup-compatibility/2006">
      <mc:Choice Requires="x14">
        <control shapeId="2058" r:id="rId6" name="ListBox1">
          <controlPr defaultSize="0" autoLine="0" autoPict="0" r:id="rId7">
            <anchor moveWithCells="1">
              <from>
                <xdr:col>19</xdr:col>
                <xdr:colOff>2066925</xdr:colOff>
                <xdr:row>264</xdr:row>
                <xdr:rowOff>0</xdr:rowOff>
              </from>
              <to>
                <xdr:col>21</xdr:col>
                <xdr:colOff>1143000</xdr:colOff>
                <xdr:row>1975</xdr:row>
                <xdr:rowOff>142875</xdr:rowOff>
              </to>
            </anchor>
          </controlPr>
        </control>
      </mc:Choice>
      <mc:Fallback>
        <control shapeId="2058" r:id="rId6" name="ListBox1"/>
      </mc:Fallback>
    </mc:AlternateContent>
    <mc:AlternateContent xmlns:mc="http://schemas.openxmlformats.org/markup-compatibility/2006">
      <mc:Choice Requires="x14">
        <control shapeId="2052" r:id="rId8" name="CommandButton1">
          <controlPr defaultSize="0" autoLine="0" r:id="rId9">
            <anchor moveWithCells="1">
              <from>
                <xdr:col>20</xdr:col>
                <xdr:colOff>0</xdr:colOff>
                <xdr:row>2294</xdr:row>
                <xdr:rowOff>0</xdr:rowOff>
              </from>
              <to>
                <xdr:col>21</xdr:col>
                <xdr:colOff>409575</xdr:colOff>
                <xdr:row>2295</xdr:row>
                <xdr:rowOff>171450</xdr:rowOff>
              </to>
            </anchor>
          </controlPr>
        </control>
      </mc:Choice>
      <mc:Fallback>
        <control shapeId="2052" r:id="rId8" name="CommandButton1"/>
      </mc:Fallback>
    </mc:AlternateContent>
  </controls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6B3E8A-92DD-4AC0-A313-8AAC580143E8}">
          <x14:formula1>
            <xm:f>Filter!$C$1:$C$20</xm:f>
          </x14:formula1>
          <xm:sqref>T129:T132 T133:U133 T125:T127 T2:T123 U273:U1048576 U100 U98 U106:U107 T134:T272</xm:sqref>
        </x14:dataValidation>
        <x14:dataValidation type="list" allowBlank="1" showInputMessage="1" showErrorMessage="1" xr:uid="{53E2369B-3FD3-4F97-82DE-CAB1A31CEC6F}">
          <x14:formula1>
            <xm:f>Filter!$B$1:$B$21</xm:f>
          </x14:formula1>
          <xm:sqref>S128:T128 T124 S129:S272 T273:T1048576 S2:S127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F86EF74E-0FCA-478D-8A0F-002126F9103C}">
          <xm:f>'Table 2'!#REF!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19FAD-39D9-4D55-A103-42FE59B1C580}">
  <sheetPr codeName="Sheet5"/>
  <dimension ref="A2:F215"/>
  <sheetViews>
    <sheetView topLeftCell="A166" workbookViewId="0">
      <selection activeCell="E52" sqref="E52"/>
    </sheetView>
  </sheetViews>
  <sheetFormatPr defaultRowHeight="15"/>
  <cols>
    <col min="1" max="1" width="12.7109375" customWidth="1"/>
    <col min="3" max="3" width="9.85546875" bestFit="1" customWidth="1"/>
    <col min="4" max="4" width="11.42578125" bestFit="1" customWidth="1"/>
    <col min="6" max="6" width="9.85546875" bestFit="1" customWidth="1"/>
  </cols>
  <sheetData>
    <row r="2" spans="3:6">
      <c r="C2" s="5"/>
      <c r="D2" t="s">
        <v>335</v>
      </c>
      <c r="E2" t="s">
        <v>336</v>
      </c>
      <c r="F2" s="5">
        <v>46047</v>
      </c>
    </row>
    <row r="3" spans="3:6">
      <c r="C3" s="5"/>
      <c r="D3" t="s">
        <v>337</v>
      </c>
      <c r="E3" t="s">
        <v>338</v>
      </c>
      <c r="F3" s="5">
        <v>46047</v>
      </c>
    </row>
    <row r="4" spans="3:6">
      <c r="C4" s="5"/>
      <c r="D4" t="s">
        <v>339</v>
      </c>
      <c r="E4" t="s">
        <v>340</v>
      </c>
      <c r="F4" s="5">
        <v>46046</v>
      </c>
    </row>
    <row r="5" spans="3:6">
      <c r="C5" s="5"/>
      <c r="D5" t="s">
        <v>341</v>
      </c>
      <c r="E5" t="s">
        <v>338</v>
      </c>
      <c r="F5" s="5">
        <v>46046</v>
      </c>
    </row>
    <row r="6" spans="3:6">
      <c r="C6" s="5"/>
      <c r="D6" t="s">
        <v>342</v>
      </c>
      <c r="E6" t="s">
        <v>336</v>
      </c>
      <c r="F6" s="5">
        <v>46046</v>
      </c>
    </row>
    <row r="7" spans="3:6">
      <c r="C7" s="5"/>
      <c r="D7" t="s">
        <v>343</v>
      </c>
      <c r="E7" t="s">
        <v>338</v>
      </c>
      <c r="F7" s="5">
        <v>46046</v>
      </c>
    </row>
    <row r="8" spans="3:6">
      <c r="C8" s="5"/>
      <c r="D8" t="s">
        <v>344</v>
      </c>
      <c r="E8" t="s">
        <v>345</v>
      </c>
      <c r="F8" s="5">
        <v>46046</v>
      </c>
    </row>
    <row r="9" spans="3:6">
      <c r="C9" s="5"/>
      <c r="D9" t="s">
        <v>346</v>
      </c>
      <c r="E9" t="s">
        <v>336</v>
      </c>
      <c r="F9" s="5">
        <v>46046</v>
      </c>
    </row>
    <row r="10" spans="3:6">
      <c r="C10" s="5"/>
      <c r="D10" t="s">
        <v>347</v>
      </c>
      <c r="E10" t="s">
        <v>338</v>
      </c>
      <c r="F10" s="5">
        <v>46046</v>
      </c>
    </row>
    <row r="11" spans="3:6">
      <c r="C11" s="5"/>
      <c r="D11" t="s">
        <v>348</v>
      </c>
      <c r="E11" t="s">
        <v>340</v>
      </c>
      <c r="F11" s="5">
        <v>46046</v>
      </c>
    </row>
    <row r="12" spans="3:6">
      <c r="C12" s="5"/>
      <c r="D12" t="s">
        <v>349</v>
      </c>
      <c r="E12" t="s">
        <v>338</v>
      </c>
      <c r="F12" s="5">
        <v>46046</v>
      </c>
    </row>
    <row r="13" spans="3:6">
      <c r="C13" s="5"/>
      <c r="D13" t="s">
        <v>350</v>
      </c>
      <c r="E13" t="s">
        <v>336</v>
      </c>
      <c r="F13" s="5">
        <v>46046</v>
      </c>
    </row>
    <row r="14" spans="3:6">
      <c r="C14" s="5"/>
      <c r="D14" t="s">
        <v>351</v>
      </c>
      <c r="E14" t="s">
        <v>345</v>
      </c>
      <c r="F14" s="5">
        <v>46046</v>
      </c>
    </row>
    <row r="15" spans="3:6">
      <c r="C15" s="5"/>
      <c r="D15" t="s">
        <v>352</v>
      </c>
      <c r="E15" t="s">
        <v>340</v>
      </c>
      <c r="F15" s="5">
        <v>46046</v>
      </c>
    </row>
    <row r="16" spans="3:6">
      <c r="C16" s="5"/>
      <c r="D16" t="s">
        <v>353</v>
      </c>
      <c r="E16" t="s">
        <v>338</v>
      </c>
      <c r="F16" s="5">
        <v>46046</v>
      </c>
    </row>
    <row r="17" spans="3:6">
      <c r="C17" s="5"/>
      <c r="D17" t="s">
        <v>354</v>
      </c>
      <c r="E17" t="s">
        <v>336</v>
      </c>
      <c r="F17" s="5">
        <v>46046</v>
      </c>
    </row>
    <row r="18" spans="3:6">
      <c r="C18" s="5"/>
      <c r="D18" t="s">
        <v>355</v>
      </c>
      <c r="E18" t="s">
        <v>338</v>
      </c>
      <c r="F18" s="5">
        <v>46046</v>
      </c>
    </row>
    <row r="19" spans="3:6">
      <c r="C19" s="5"/>
      <c r="D19" t="s">
        <v>356</v>
      </c>
      <c r="E19" t="s">
        <v>345</v>
      </c>
      <c r="F19" s="5">
        <v>46046</v>
      </c>
    </row>
    <row r="20" spans="3:6">
      <c r="C20" s="5"/>
      <c r="D20" t="s">
        <v>357</v>
      </c>
      <c r="E20" t="s">
        <v>340</v>
      </c>
      <c r="F20" s="5">
        <v>46046</v>
      </c>
    </row>
    <row r="21" spans="3:6">
      <c r="C21" s="5"/>
      <c r="D21" t="s">
        <v>358</v>
      </c>
      <c r="E21" t="s">
        <v>338</v>
      </c>
      <c r="F21" s="5">
        <v>46046</v>
      </c>
    </row>
    <row r="22" spans="3:6">
      <c r="C22" s="5"/>
      <c r="D22" t="s">
        <v>359</v>
      </c>
      <c r="E22" t="s">
        <v>336</v>
      </c>
      <c r="F22" s="5">
        <v>46046</v>
      </c>
    </row>
    <row r="23" spans="3:6">
      <c r="C23" s="5"/>
      <c r="D23" t="s">
        <v>360</v>
      </c>
      <c r="E23" t="s">
        <v>345</v>
      </c>
      <c r="F23" s="5">
        <v>46046</v>
      </c>
    </row>
    <row r="24" spans="3:6">
      <c r="C24" s="5"/>
      <c r="D24" t="s">
        <v>361</v>
      </c>
      <c r="E24" t="s">
        <v>340</v>
      </c>
      <c r="F24" s="5">
        <v>46046</v>
      </c>
    </row>
    <row r="25" spans="3:6">
      <c r="C25" s="5"/>
      <c r="D25" t="s">
        <v>362</v>
      </c>
      <c r="E25" t="s">
        <v>340</v>
      </c>
      <c r="F25" s="5">
        <v>46046</v>
      </c>
    </row>
    <row r="26" spans="3:6">
      <c r="C26" s="5"/>
      <c r="D26" t="s">
        <v>363</v>
      </c>
      <c r="E26" t="s">
        <v>340</v>
      </c>
      <c r="F26" s="5">
        <v>46046</v>
      </c>
    </row>
    <row r="27" spans="3:6">
      <c r="C27" s="5"/>
      <c r="D27" t="s">
        <v>364</v>
      </c>
      <c r="E27" t="s">
        <v>336</v>
      </c>
      <c r="F27" s="5">
        <v>46046</v>
      </c>
    </row>
    <row r="28" spans="3:6">
      <c r="C28" s="5"/>
      <c r="D28" t="s">
        <v>365</v>
      </c>
      <c r="E28" t="s">
        <v>336</v>
      </c>
      <c r="F28" s="5">
        <v>46046</v>
      </c>
    </row>
    <row r="29" spans="3:6">
      <c r="C29" s="5"/>
      <c r="D29" t="s">
        <v>366</v>
      </c>
      <c r="E29" t="s">
        <v>336</v>
      </c>
      <c r="F29" s="5">
        <v>46046</v>
      </c>
    </row>
    <row r="30" spans="3:6">
      <c r="C30" s="5"/>
      <c r="D30" t="s">
        <v>367</v>
      </c>
      <c r="E30" t="s">
        <v>336</v>
      </c>
      <c r="F30" s="5">
        <v>46046</v>
      </c>
    </row>
    <row r="31" spans="3:6">
      <c r="C31" s="5"/>
      <c r="D31" t="s">
        <v>368</v>
      </c>
      <c r="E31" t="s">
        <v>338</v>
      </c>
      <c r="F31" s="5">
        <v>46047</v>
      </c>
    </row>
    <row r="32" spans="3:6">
      <c r="C32" s="5"/>
      <c r="D32" t="s">
        <v>369</v>
      </c>
      <c r="E32" t="s">
        <v>336</v>
      </c>
      <c r="F32" s="5">
        <v>46047</v>
      </c>
    </row>
    <row r="33" spans="1:6">
      <c r="C33" s="5"/>
      <c r="D33" t="s">
        <v>370</v>
      </c>
      <c r="E33" t="s">
        <v>336</v>
      </c>
      <c r="F33" s="5">
        <v>46047</v>
      </c>
    </row>
    <row r="34" spans="1:6">
      <c r="C34" s="5"/>
      <c r="D34" t="s">
        <v>371</v>
      </c>
      <c r="E34" t="s">
        <v>338</v>
      </c>
      <c r="F34" s="5">
        <v>46047</v>
      </c>
    </row>
    <row r="35" spans="1:6">
      <c r="D35" t="s">
        <v>372</v>
      </c>
      <c r="E35" t="s">
        <v>336</v>
      </c>
      <c r="F35" s="5">
        <v>46047</v>
      </c>
    </row>
    <row r="36" spans="1:6">
      <c r="C36" s="5"/>
      <c r="D36" t="s">
        <v>373</v>
      </c>
      <c r="E36" t="s">
        <v>338</v>
      </c>
      <c r="F36" s="5">
        <v>46047</v>
      </c>
    </row>
    <row r="37" spans="1:6">
      <c r="C37" s="5"/>
      <c r="D37" t="s">
        <v>374</v>
      </c>
      <c r="E37" t="s">
        <v>345</v>
      </c>
      <c r="F37" s="5">
        <v>46047</v>
      </c>
    </row>
    <row r="38" spans="1:6">
      <c r="C38" s="5"/>
      <c r="D38" t="s">
        <v>375</v>
      </c>
      <c r="E38" t="s">
        <v>345</v>
      </c>
      <c r="F38" s="5">
        <v>46047</v>
      </c>
    </row>
    <row r="39" spans="1:6">
      <c r="C39" s="5"/>
      <c r="D39" t="s">
        <v>376</v>
      </c>
      <c r="E39" t="s">
        <v>345</v>
      </c>
      <c r="F39" s="5">
        <v>46047</v>
      </c>
    </row>
    <row r="40" spans="1:6">
      <c r="C40" s="5"/>
      <c r="D40" t="s">
        <v>337</v>
      </c>
      <c r="E40" t="s">
        <v>338</v>
      </c>
      <c r="F40" s="5">
        <v>46047</v>
      </c>
    </row>
    <row r="41" spans="1:6">
      <c r="C41" s="5"/>
      <c r="D41" t="s">
        <v>377</v>
      </c>
      <c r="E41" t="s">
        <v>378</v>
      </c>
      <c r="F41" s="5">
        <v>46047</v>
      </c>
    </row>
    <row r="42" spans="1:6">
      <c r="C42" s="5"/>
      <c r="D42" t="s">
        <v>379</v>
      </c>
      <c r="E42" t="s">
        <v>336</v>
      </c>
      <c r="F42" s="5">
        <v>46047</v>
      </c>
    </row>
    <row r="43" spans="1:6">
      <c r="C43" s="5"/>
      <c r="D43" t="s">
        <v>380</v>
      </c>
      <c r="E43" t="s">
        <v>336</v>
      </c>
      <c r="F43" s="5">
        <v>46047</v>
      </c>
    </row>
    <row r="44" spans="1:6">
      <c r="C44" s="5"/>
      <c r="D44" t="s">
        <v>381</v>
      </c>
      <c r="E44" t="s">
        <v>336</v>
      </c>
      <c r="F44" s="5">
        <v>46047</v>
      </c>
    </row>
    <row r="45" spans="1:6">
      <c r="C45" s="5"/>
      <c r="D45" t="s">
        <v>382</v>
      </c>
      <c r="E45" t="s">
        <v>336</v>
      </c>
      <c r="F45" s="5">
        <v>46047</v>
      </c>
    </row>
    <row r="46" spans="1:6">
      <c r="A46" t="s">
        <v>349</v>
      </c>
      <c r="B46" t="s">
        <v>383</v>
      </c>
      <c r="C46" s="5">
        <v>46046</v>
      </c>
      <c r="D46" t="s">
        <v>384</v>
      </c>
      <c r="E46" t="s">
        <v>336</v>
      </c>
      <c r="F46" s="5">
        <v>46047</v>
      </c>
    </row>
    <row r="47" spans="1:6">
      <c r="A47" t="s">
        <v>350</v>
      </c>
      <c r="B47" t="s">
        <v>385</v>
      </c>
      <c r="C47" s="5">
        <v>46046</v>
      </c>
      <c r="D47" t="s">
        <v>384</v>
      </c>
      <c r="E47" t="s">
        <v>336</v>
      </c>
      <c r="F47" s="5">
        <v>46047</v>
      </c>
    </row>
    <row r="48" spans="1:6">
      <c r="A48" t="s">
        <v>386</v>
      </c>
      <c r="B48" t="s">
        <v>297</v>
      </c>
      <c r="C48" s="5">
        <v>46047</v>
      </c>
      <c r="D48" t="s">
        <v>384</v>
      </c>
      <c r="E48">
        <v>0</v>
      </c>
      <c r="F48" s="5">
        <v>46047</v>
      </c>
    </row>
    <row r="49" spans="1:6">
      <c r="A49" t="s">
        <v>386</v>
      </c>
      <c r="B49" t="s">
        <v>297</v>
      </c>
      <c r="C49" s="5">
        <v>46047</v>
      </c>
      <c r="D49" t="s">
        <v>384</v>
      </c>
      <c r="E49" t="s">
        <v>336</v>
      </c>
      <c r="F49" s="5">
        <v>46047</v>
      </c>
    </row>
    <row r="50" spans="1:6">
      <c r="A50" t="s">
        <v>377</v>
      </c>
      <c r="B50" t="s">
        <v>387</v>
      </c>
      <c r="C50" s="5">
        <v>46047</v>
      </c>
      <c r="D50" t="s">
        <v>388</v>
      </c>
      <c r="E50" t="s">
        <v>336</v>
      </c>
      <c r="F50" s="5">
        <v>46047</v>
      </c>
    </row>
    <row r="51" spans="1:6">
      <c r="A51" t="s">
        <v>389</v>
      </c>
      <c r="B51" t="s">
        <v>297</v>
      </c>
      <c r="C51" s="5">
        <v>46047</v>
      </c>
      <c r="D51" t="s">
        <v>390</v>
      </c>
      <c r="E51" t="s">
        <v>336</v>
      </c>
      <c r="F51" s="5">
        <v>46047</v>
      </c>
    </row>
    <row r="52" spans="1:6">
      <c r="A52" t="s">
        <v>391</v>
      </c>
      <c r="B52" t="s">
        <v>297</v>
      </c>
      <c r="C52" s="5">
        <v>46047</v>
      </c>
      <c r="D52" s="5" t="s">
        <v>392</v>
      </c>
      <c r="E52" t="s">
        <v>336</v>
      </c>
      <c r="F52" s="5">
        <v>46047</v>
      </c>
    </row>
    <row r="53" spans="1:6">
      <c r="A53" t="s">
        <v>393</v>
      </c>
      <c r="B53" t="s">
        <v>387</v>
      </c>
      <c r="C53" s="5">
        <v>46047</v>
      </c>
      <c r="D53" t="s">
        <v>394</v>
      </c>
      <c r="E53" t="s">
        <v>336</v>
      </c>
      <c r="F53" s="5">
        <v>46047</v>
      </c>
    </row>
    <row r="54" spans="1:6">
      <c r="A54" t="s">
        <v>395</v>
      </c>
      <c r="B54" t="s">
        <v>297</v>
      </c>
      <c r="C54" s="5">
        <v>46047</v>
      </c>
      <c r="D54" t="s">
        <v>396</v>
      </c>
      <c r="E54" t="s">
        <v>345</v>
      </c>
      <c r="F54" s="5">
        <v>46047</v>
      </c>
    </row>
    <row r="55" spans="1:6">
      <c r="A55" t="s">
        <v>397</v>
      </c>
      <c r="B55" t="s">
        <v>387</v>
      </c>
      <c r="C55" s="5">
        <v>46047</v>
      </c>
      <c r="D55" t="s">
        <v>398</v>
      </c>
      <c r="E55" t="s">
        <v>336</v>
      </c>
      <c r="F55" s="5">
        <v>46047</v>
      </c>
    </row>
    <row r="56" spans="1:6">
      <c r="A56" t="s">
        <v>399</v>
      </c>
      <c r="B56" t="s">
        <v>297</v>
      </c>
      <c r="C56" s="5">
        <v>46047</v>
      </c>
      <c r="D56" t="s">
        <v>400</v>
      </c>
      <c r="E56" t="s">
        <v>340</v>
      </c>
      <c r="F56" s="5">
        <v>46047</v>
      </c>
    </row>
    <row r="57" spans="1:6">
      <c r="A57" t="s">
        <v>401</v>
      </c>
      <c r="B57" t="s">
        <v>387</v>
      </c>
      <c r="C57" s="5">
        <v>46047</v>
      </c>
      <c r="D57" t="s">
        <v>402</v>
      </c>
      <c r="E57" t="s">
        <v>340</v>
      </c>
      <c r="F57" s="5">
        <v>46048</v>
      </c>
    </row>
    <row r="58" spans="1:6">
      <c r="A58" t="s">
        <v>403</v>
      </c>
      <c r="B58" t="s">
        <v>297</v>
      </c>
      <c r="C58" s="5">
        <v>46047</v>
      </c>
      <c r="D58" t="s">
        <v>348</v>
      </c>
      <c r="E58" t="s">
        <v>345</v>
      </c>
      <c r="F58" s="5">
        <v>46047</v>
      </c>
    </row>
    <row r="59" spans="1:6">
      <c r="A59" t="s">
        <v>404</v>
      </c>
      <c r="B59" t="s">
        <v>387</v>
      </c>
      <c r="C59" s="5">
        <v>46047</v>
      </c>
      <c r="D59" t="s">
        <v>405</v>
      </c>
      <c r="E59" t="s">
        <v>338</v>
      </c>
      <c r="F59" s="5">
        <v>46047</v>
      </c>
    </row>
    <row r="60" spans="1:6">
      <c r="A60" t="s">
        <v>406</v>
      </c>
      <c r="B60" t="s">
        <v>297</v>
      </c>
      <c r="C60" s="5">
        <v>46047</v>
      </c>
      <c r="D60" t="s">
        <v>407</v>
      </c>
      <c r="E60" t="s">
        <v>340</v>
      </c>
      <c r="F60" s="5">
        <v>46047</v>
      </c>
    </row>
    <row r="61" spans="1:6">
      <c r="A61" t="s">
        <v>408</v>
      </c>
      <c r="B61" t="s">
        <v>387</v>
      </c>
      <c r="C61" s="5">
        <v>46047</v>
      </c>
      <c r="D61" t="s">
        <v>409</v>
      </c>
      <c r="E61" t="s">
        <v>378</v>
      </c>
      <c r="F61" s="5">
        <v>46047</v>
      </c>
    </row>
    <row r="62" spans="1:6">
      <c r="A62" t="s">
        <v>410</v>
      </c>
      <c r="B62" t="s">
        <v>387</v>
      </c>
      <c r="C62" s="5">
        <v>46047</v>
      </c>
      <c r="D62" t="s">
        <v>409</v>
      </c>
      <c r="E62" t="s">
        <v>336</v>
      </c>
      <c r="F62" s="5">
        <v>46047</v>
      </c>
    </row>
    <row r="63" spans="1:6">
      <c r="A63" t="s">
        <v>411</v>
      </c>
      <c r="B63" t="s">
        <v>297</v>
      </c>
      <c r="C63" s="5">
        <v>46047</v>
      </c>
      <c r="D63" t="s">
        <v>412</v>
      </c>
      <c r="E63" t="s">
        <v>338</v>
      </c>
      <c r="F63" s="5">
        <v>46047</v>
      </c>
    </row>
    <row r="64" spans="1:6">
      <c r="A64" t="s">
        <v>413</v>
      </c>
      <c r="B64" t="s">
        <v>275</v>
      </c>
      <c r="C64" s="5">
        <v>46047</v>
      </c>
      <c r="D64" t="s">
        <v>414</v>
      </c>
      <c r="E64" t="s">
        <v>345</v>
      </c>
      <c r="F64" s="5">
        <v>46047</v>
      </c>
    </row>
    <row r="65" spans="1:6">
      <c r="A65" t="s">
        <v>415</v>
      </c>
      <c r="B65" t="s">
        <v>387</v>
      </c>
      <c r="C65" s="5">
        <v>46047</v>
      </c>
      <c r="D65" t="s">
        <v>416</v>
      </c>
      <c r="E65" t="s">
        <v>345</v>
      </c>
      <c r="F65" s="5">
        <v>46047</v>
      </c>
    </row>
    <row r="66" spans="1:6">
      <c r="A66" t="s">
        <v>417</v>
      </c>
      <c r="B66" t="s">
        <v>387</v>
      </c>
      <c r="C66" s="5">
        <v>46047</v>
      </c>
      <c r="D66" t="s">
        <v>418</v>
      </c>
      <c r="E66" t="s">
        <v>345</v>
      </c>
      <c r="F66" s="5">
        <v>46047</v>
      </c>
    </row>
    <row r="67" spans="1:6">
      <c r="A67" t="s">
        <v>419</v>
      </c>
      <c r="B67" t="s">
        <v>297</v>
      </c>
      <c r="C67" s="5">
        <v>46047</v>
      </c>
      <c r="D67" t="s">
        <v>420</v>
      </c>
      <c r="E67" t="s">
        <v>338</v>
      </c>
      <c r="F67" s="5">
        <v>46047</v>
      </c>
    </row>
    <row r="68" spans="1:6">
      <c r="A68" t="s">
        <v>421</v>
      </c>
      <c r="B68" t="s">
        <v>297</v>
      </c>
      <c r="C68" s="5">
        <v>46047</v>
      </c>
      <c r="D68" t="s">
        <v>422</v>
      </c>
      <c r="E68" t="s">
        <v>345</v>
      </c>
      <c r="F68" s="5">
        <v>46047</v>
      </c>
    </row>
    <row r="69" spans="1:6">
      <c r="A69" t="s">
        <v>423</v>
      </c>
      <c r="B69" t="s">
        <v>275</v>
      </c>
      <c r="C69" s="5">
        <v>46047</v>
      </c>
      <c r="D69" t="s">
        <v>422</v>
      </c>
      <c r="E69" t="s">
        <v>345</v>
      </c>
      <c r="F69" s="5">
        <v>46047</v>
      </c>
    </row>
    <row r="70" spans="1:6">
      <c r="A70" t="s">
        <v>424</v>
      </c>
      <c r="B70" t="s">
        <v>297</v>
      </c>
      <c r="C70" s="5">
        <v>46047</v>
      </c>
      <c r="D70" t="s">
        <v>425</v>
      </c>
      <c r="E70" t="s">
        <v>340</v>
      </c>
      <c r="F70" s="5">
        <v>46047</v>
      </c>
    </row>
    <row r="71" spans="1:6">
      <c r="A71" t="s">
        <v>426</v>
      </c>
      <c r="B71" t="s">
        <v>297</v>
      </c>
      <c r="C71" s="5">
        <v>46047</v>
      </c>
      <c r="D71" t="s">
        <v>427</v>
      </c>
      <c r="E71" t="s">
        <v>345</v>
      </c>
      <c r="F71" s="5">
        <v>46047</v>
      </c>
    </row>
    <row r="72" spans="1:6">
      <c r="A72" t="s">
        <v>428</v>
      </c>
      <c r="B72" t="s">
        <v>387</v>
      </c>
      <c r="C72" s="5">
        <v>46047</v>
      </c>
      <c r="D72" t="s">
        <v>429</v>
      </c>
      <c r="E72" t="s">
        <v>336</v>
      </c>
      <c r="F72" s="5">
        <v>46047</v>
      </c>
    </row>
    <row r="73" spans="1:6">
      <c r="A73" t="s">
        <v>430</v>
      </c>
      <c r="B73" t="s">
        <v>297</v>
      </c>
      <c r="C73" s="5">
        <v>46047</v>
      </c>
      <c r="D73" t="s">
        <v>431</v>
      </c>
      <c r="E73" t="s">
        <v>338</v>
      </c>
      <c r="F73" s="5">
        <v>46047</v>
      </c>
    </row>
    <row r="74" spans="1:6">
      <c r="A74" t="s">
        <v>432</v>
      </c>
      <c r="B74" t="s">
        <v>297</v>
      </c>
      <c r="C74" s="5">
        <v>46047</v>
      </c>
      <c r="D74" t="s">
        <v>433</v>
      </c>
      <c r="E74" t="s">
        <v>340</v>
      </c>
      <c r="F74" s="5">
        <v>46047</v>
      </c>
    </row>
    <row r="75" spans="1:6">
      <c r="A75" t="s">
        <v>434</v>
      </c>
      <c r="B75" t="s">
        <v>387</v>
      </c>
      <c r="C75" s="5">
        <v>46047</v>
      </c>
      <c r="D75" t="s">
        <v>435</v>
      </c>
      <c r="E75" t="s">
        <v>338</v>
      </c>
      <c r="F75" s="5">
        <v>46047</v>
      </c>
    </row>
    <row r="76" spans="1:6">
      <c r="A76" t="s">
        <v>436</v>
      </c>
      <c r="B76" t="s">
        <v>275</v>
      </c>
      <c r="C76" s="5">
        <v>46047</v>
      </c>
      <c r="D76" t="s">
        <v>437</v>
      </c>
      <c r="E76" t="s">
        <v>338</v>
      </c>
      <c r="F76" s="5">
        <v>46047</v>
      </c>
    </row>
    <row r="77" spans="1:6">
      <c r="A77" t="s">
        <v>438</v>
      </c>
      <c r="B77" t="s">
        <v>387</v>
      </c>
      <c r="C77" s="5">
        <v>46047</v>
      </c>
      <c r="D77" t="s">
        <v>439</v>
      </c>
      <c r="E77" t="s">
        <v>340</v>
      </c>
      <c r="F77" s="5">
        <v>46047</v>
      </c>
    </row>
    <row r="78" spans="1:6">
      <c r="A78" t="s">
        <v>440</v>
      </c>
      <c r="B78" t="s">
        <v>297</v>
      </c>
      <c r="C78" s="5">
        <v>46047</v>
      </c>
      <c r="D78" t="s">
        <v>441</v>
      </c>
      <c r="E78" t="s">
        <v>345</v>
      </c>
      <c r="F78" s="5">
        <v>46047</v>
      </c>
    </row>
    <row r="79" spans="1:6">
      <c r="A79" t="s">
        <v>442</v>
      </c>
      <c r="B79" t="s">
        <v>297</v>
      </c>
      <c r="C79" s="5">
        <v>46047</v>
      </c>
      <c r="D79" t="s">
        <v>443</v>
      </c>
      <c r="E79" t="s">
        <v>336</v>
      </c>
      <c r="F79" s="5">
        <v>46048</v>
      </c>
    </row>
    <row r="80" spans="1:6">
      <c r="A80" t="s">
        <v>444</v>
      </c>
      <c r="B80" t="s">
        <v>387</v>
      </c>
      <c r="C80" s="5">
        <v>46047</v>
      </c>
      <c r="D80" t="s">
        <v>445</v>
      </c>
      <c r="E80" t="s">
        <v>336</v>
      </c>
      <c r="F80" s="5">
        <v>46048</v>
      </c>
    </row>
    <row r="81" spans="1:6">
      <c r="A81" t="s">
        <v>446</v>
      </c>
      <c r="B81" t="s">
        <v>387</v>
      </c>
      <c r="C81" s="5">
        <v>46047</v>
      </c>
      <c r="D81" t="s">
        <v>447</v>
      </c>
      <c r="E81" t="s">
        <v>336</v>
      </c>
      <c r="F81" s="5">
        <v>46048</v>
      </c>
    </row>
    <row r="82" spans="1:6">
      <c r="A82" t="s">
        <v>448</v>
      </c>
      <c r="B82" t="s">
        <v>387</v>
      </c>
      <c r="C82" s="5">
        <v>46047</v>
      </c>
      <c r="D82" t="s">
        <v>449</v>
      </c>
      <c r="E82" t="s">
        <v>336</v>
      </c>
      <c r="F82" s="5">
        <v>46048</v>
      </c>
    </row>
    <row r="83" spans="1:6">
      <c r="A83" t="s">
        <v>450</v>
      </c>
      <c r="B83" t="s">
        <v>297</v>
      </c>
      <c r="C83" s="5">
        <v>46047</v>
      </c>
      <c r="D83" t="s">
        <v>451</v>
      </c>
      <c r="E83" t="s">
        <v>340</v>
      </c>
      <c r="F83" s="5">
        <v>46048</v>
      </c>
    </row>
    <row r="84" spans="1:6">
      <c r="A84" t="s">
        <v>452</v>
      </c>
      <c r="B84" t="s">
        <v>387</v>
      </c>
      <c r="C84" s="5">
        <v>46047</v>
      </c>
      <c r="D84" t="s">
        <v>453</v>
      </c>
      <c r="E84" t="s">
        <v>338</v>
      </c>
      <c r="F84" s="5">
        <v>46048</v>
      </c>
    </row>
    <row r="85" spans="1:6">
      <c r="A85" t="s">
        <v>454</v>
      </c>
      <c r="B85" t="s">
        <v>387</v>
      </c>
      <c r="C85" s="5">
        <v>46047</v>
      </c>
      <c r="D85" t="s">
        <v>455</v>
      </c>
      <c r="E85" t="s">
        <v>345</v>
      </c>
      <c r="F85" s="5">
        <v>46048</v>
      </c>
    </row>
    <row r="86" spans="1:6">
      <c r="A86" t="s">
        <v>456</v>
      </c>
      <c r="B86" t="s">
        <v>387</v>
      </c>
      <c r="C86" s="5">
        <v>46047</v>
      </c>
      <c r="D86" t="s">
        <v>457</v>
      </c>
      <c r="E86" t="s">
        <v>338</v>
      </c>
      <c r="F86" s="5">
        <v>46048</v>
      </c>
    </row>
    <row r="87" spans="1:6">
      <c r="A87" t="s">
        <v>458</v>
      </c>
      <c r="B87" t="s">
        <v>297</v>
      </c>
      <c r="C87" s="5">
        <v>46047</v>
      </c>
      <c r="D87" t="s">
        <v>459</v>
      </c>
      <c r="E87" t="s">
        <v>336</v>
      </c>
      <c r="F87" s="5">
        <v>46048</v>
      </c>
    </row>
    <row r="88" spans="1:6">
      <c r="A88" t="s">
        <v>460</v>
      </c>
      <c r="B88" t="s">
        <v>387</v>
      </c>
      <c r="C88" s="5">
        <v>46047</v>
      </c>
      <c r="D88" t="s">
        <v>461</v>
      </c>
      <c r="E88" t="s">
        <v>336</v>
      </c>
      <c r="F88" s="5">
        <v>46048</v>
      </c>
    </row>
    <row r="89" spans="1:6">
      <c r="A89" t="s">
        <v>462</v>
      </c>
      <c r="B89" t="s">
        <v>387</v>
      </c>
      <c r="C89" s="5">
        <v>46047</v>
      </c>
      <c r="D89" t="s">
        <v>463</v>
      </c>
      <c r="E89" t="s">
        <v>336</v>
      </c>
      <c r="F89" s="5">
        <v>46048</v>
      </c>
    </row>
    <row r="90" spans="1:6">
      <c r="A90" t="s">
        <v>464</v>
      </c>
      <c r="B90" t="s">
        <v>387</v>
      </c>
      <c r="C90" s="5">
        <v>46047</v>
      </c>
      <c r="D90" t="s">
        <v>368</v>
      </c>
      <c r="E90" t="s">
        <v>336</v>
      </c>
      <c r="F90" s="5">
        <v>46048</v>
      </c>
    </row>
    <row r="91" spans="1:6">
      <c r="A91" t="s">
        <v>465</v>
      </c>
      <c r="B91" t="s">
        <v>289</v>
      </c>
      <c r="C91" s="5">
        <v>46047</v>
      </c>
      <c r="D91" t="s">
        <v>466</v>
      </c>
      <c r="E91">
        <v>0</v>
      </c>
      <c r="F91" s="5">
        <v>46049</v>
      </c>
    </row>
    <row r="92" spans="1:6">
      <c r="A92" t="s">
        <v>465</v>
      </c>
      <c r="B92" t="s">
        <v>297</v>
      </c>
      <c r="C92" s="5">
        <v>46047</v>
      </c>
      <c r="D92" t="s">
        <v>407</v>
      </c>
      <c r="E92" t="s">
        <v>467</v>
      </c>
      <c r="F92" s="5">
        <v>46049</v>
      </c>
    </row>
    <row r="93" spans="1:6">
      <c r="A93" t="s">
        <v>468</v>
      </c>
      <c r="B93" t="s">
        <v>297</v>
      </c>
      <c r="C93" s="5">
        <v>46047</v>
      </c>
      <c r="D93" t="s">
        <v>407</v>
      </c>
      <c r="F93" s="5">
        <v>46049</v>
      </c>
    </row>
    <row r="94" spans="1:6">
      <c r="A94" t="s">
        <v>469</v>
      </c>
      <c r="B94" t="s">
        <v>387</v>
      </c>
      <c r="C94" s="5">
        <v>46047</v>
      </c>
      <c r="D94" t="s">
        <v>466</v>
      </c>
      <c r="F94" s="5">
        <v>46049</v>
      </c>
    </row>
    <row r="95" spans="1:6">
      <c r="A95" t="s">
        <v>405</v>
      </c>
      <c r="B95" t="s">
        <v>297</v>
      </c>
      <c r="C95" s="5">
        <v>46047</v>
      </c>
      <c r="D95" t="s">
        <v>407</v>
      </c>
      <c r="F95" s="5">
        <v>46049</v>
      </c>
    </row>
    <row r="96" spans="1:6">
      <c r="A96" t="s">
        <v>470</v>
      </c>
      <c r="B96" t="s">
        <v>387</v>
      </c>
      <c r="C96" s="5">
        <v>46047</v>
      </c>
      <c r="D96" t="s">
        <v>471</v>
      </c>
      <c r="F96" s="5">
        <v>46049</v>
      </c>
    </row>
    <row r="97" spans="1:6">
      <c r="A97" t="s">
        <v>472</v>
      </c>
      <c r="B97" t="s">
        <v>297</v>
      </c>
      <c r="C97" s="5">
        <v>46047</v>
      </c>
      <c r="D97" t="s">
        <v>471</v>
      </c>
      <c r="F97" s="5">
        <v>46049</v>
      </c>
    </row>
    <row r="98" spans="1:6">
      <c r="A98" t="s">
        <v>388</v>
      </c>
      <c r="B98" t="s">
        <v>297</v>
      </c>
      <c r="C98" s="5">
        <v>46047</v>
      </c>
      <c r="D98" t="s">
        <v>473</v>
      </c>
      <c r="E98" t="s">
        <v>315</v>
      </c>
      <c r="F98" s="5">
        <v>46049</v>
      </c>
    </row>
    <row r="99" spans="1:6">
      <c r="A99" t="s">
        <v>390</v>
      </c>
      <c r="B99" t="s">
        <v>387</v>
      </c>
      <c r="C99" s="5">
        <v>46047</v>
      </c>
      <c r="D99" t="s">
        <v>473</v>
      </c>
      <c r="E99" t="s">
        <v>315</v>
      </c>
      <c r="F99" s="5">
        <v>46049</v>
      </c>
    </row>
    <row r="100" spans="1:6">
      <c r="A100" t="s">
        <v>388</v>
      </c>
      <c r="B100" t="s">
        <v>474</v>
      </c>
      <c r="C100" s="5">
        <v>46047</v>
      </c>
      <c r="D100" t="s">
        <v>473</v>
      </c>
      <c r="E100" t="s">
        <v>315</v>
      </c>
      <c r="F100" s="5">
        <v>46049</v>
      </c>
    </row>
    <row r="101" spans="1:6">
      <c r="A101" t="s">
        <v>409</v>
      </c>
      <c r="B101" t="s">
        <v>475</v>
      </c>
      <c r="C101" s="5">
        <v>46047</v>
      </c>
      <c r="D101" t="s">
        <v>473</v>
      </c>
      <c r="E101" t="s">
        <v>315</v>
      </c>
      <c r="F101" s="5">
        <v>46049</v>
      </c>
    </row>
    <row r="102" spans="1:6">
      <c r="A102" t="s">
        <v>380</v>
      </c>
      <c r="B102" t="s">
        <v>476</v>
      </c>
      <c r="C102" s="5">
        <v>46047</v>
      </c>
      <c r="D102" t="s">
        <v>473</v>
      </c>
      <c r="E102" t="s">
        <v>315</v>
      </c>
      <c r="F102" s="5">
        <v>46049</v>
      </c>
    </row>
    <row r="103" spans="1:6">
      <c r="A103" t="s">
        <v>381</v>
      </c>
      <c r="B103" t="s">
        <v>477</v>
      </c>
      <c r="C103" s="5">
        <v>46047</v>
      </c>
      <c r="D103" t="s">
        <v>473</v>
      </c>
      <c r="E103" t="s">
        <v>315</v>
      </c>
      <c r="F103" s="5">
        <v>46049</v>
      </c>
    </row>
    <row r="104" spans="1:6">
      <c r="A104" t="s">
        <v>382</v>
      </c>
      <c r="B104" t="s">
        <v>477</v>
      </c>
      <c r="C104" s="5">
        <v>46047</v>
      </c>
      <c r="D104" t="s">
        <v>473</v>
      </c>
      <c r="E104" t="s">
        <v>315</v>
      </c>
      <c r="F104" s="5">
        <v>46049</v>
      </c>
    </row>
    <row r="105" spans="1:6">
      <c r="A105" t="s">
        <v>382</v>
      </c>
      <c r="B105" t="s">
        <v>476</v>
      </c>
      <c r="C105" s="5">
        <v>46047</v>
      </c>
      <c r="D105" t="s">
        <v>478</v>
      </c>
      <c r="E105" t="s">
        <v>20</v>
      </c>
      <c r="F105" s="5">
        <v>46049</v>
      </c>
    </row>
    <row r="106" spans="1:6">
      <c r="A106" t="s">
        <v>384</v>
      </c>
      <c r="B106" t="s">
        <v>476</v>
      </c>
      <c r="C106" s="5">
        <v>46047</v>
      </c>
      <c r="D106" t="s">
        <v>479</v>
      </c>
      <c r="E106" t="s">
        <v>318</v>
      </c>
      <c r="F106" s="5">
        <v>46049</v>
      </c>
    </row>
    <row r="107" spans="1:6">
      <c r="A107" t="s">
        <v>384</v>
      </c>
      <c r="B107" t="s">
        <v>476</v>
      </c>
      <c r="C107" s="5">
        <v>46047</v>
      </c>
      <c r="D107" t="s">
        <v>480</v>
      </c>
      <c r="E107" t="s">
        <v>315</v>
      </c>
      <c r="F107" s="5">
        <v>46049</v>
      </c>
    </row>
    <row r="108" spans="1:6">
      <c r="A108" t="s">
        <v>384</v>
      </c>
      <c r="B108" t="s">
        <v>476</v>
      </c>
      <c r="C108" s="5">
        <v>46047</v>
      </c>
      <c r="D108" t="s">
        <v>473</v>
      </c>
      <c r="E108" t="s">
        <v>241</v>
      </c>
      <c r="F108" s="5">
        <v>46049</v>
      </c>
    </row>
    <row r="109" spans="1:6">
      <c r="A109" t="s">
        <v>384</v>
      </c>
      <c r="B109">
        <v>0</v>
      </c>
      <c r="C109" s="5">
        <v>46047</v>
      </c>
      <c r="D109" t="s">
        <v>473</v>
      </c>
      <c r="E109" t="s">
        <v>305</v>
      </c>
      <c r="F109" s="5">
        <v>46049</v>
      </c>
    </row>
    <row r="110" spans="1:6">
      <c r="A110" t="s">
        <v>384</v>
      </c>
      <c r="B110" t="s">
        <v>476</v>
      </c>
      <c r="C110" s="5">
        <v>46047</v>
      </c>
      <c r="D110" t="s">
        <v>343</v>
      </c>
      <c r="E110" t="s">
        <v>481</v>
      </c>
      <c r="F110" s="5">
        <v>46049</v>
      </c>
    </row>
    <row r="111" spans="1:6">
      <c r="A111" t="s">
        <v>384</v>
      </c>
      <c r="B111">
        <v>0</v>
      </c>
      <c r="C111" s="5">
        <v>46047</v>
      </c>
      <c r="D111" t="s">
        <v>482</v>
      </c>
      <c r="E111" t="s">
        <v>481</v>
      </c>
      <c r="F111" s="5">
        <v>46049</v>
      </c>
    </row>
    <row r="112" spans="1:6">
      <c r="A112" t="s">
        <v>384</v>
      </c>
      <c r="B112" t="s">
        <v>476</v>
      </c>
      <c r="C112" s="5">
        <v>46047</v>
      </c>
      <c r="D112" t="s">
        <v>392</v>
      </c>
      <c r="E112" t="s">
        <v>241</v>
      </c>
      <c r="F112" s="5">
        <v>46049</v>
      </c>
    </row>
    <row r="113" spans="1:6">
      <c r="A113" t="s">
        <v>368</v>
      </c>
      <c r="B113" t="s">
        <v>476</v>
      </c>
      <c r="C113" s="5">
        <v>46048</v>
      </c>
      <c r="D113" t="s">
        <v>483</v>
      </c>
      <c r="E113" t="s">
        <v>241</v>
      </c>
      <c r="F113" s="5">
        <v>46049</v>
      </c>
    </row>
    <row r="114" spans="1:6">
      <c r="A114" t="s">
        <v>384</v>
      </c>
      <c r="B114" t="s">
        <v>476</v>
      </c>
      <c r="C114" s="5">
        <v>46047</v>
      </c>
      <c r="D114" t="s">
        <v>483</v>
      </c>
      <c r="E114" t="s">
        <v>241</v>
      </c>
      <c r="F114" s="5">
        <v>46049</v>
      </c>
    </row>
    <row r="115" spans="1:6">
      <c r="A115" t="s">
        <v>384</v>
      </c>
      <c r="B115" t="s">
        <v>476</v>
      </c>
      <c r="C115" s="5">
        <v>46047</v>
      </c>
      <c r="D115" t="s">
        <v>483</v>
      </c>
      <c r="E115" t="s">
        <v>299</v>
      </c>
      <c r="F115" s="5">
        <v>46049</v>
      </c>
    </row>
    <row r="116" spans="1:6">
      <c r="A116" t="s">
        <v>384</v>
      </c>
      <c r="B116" t="s">
        <v>477</v>
      </c>
      <c r="C116" s="5">
        <v>46047</v>
      </c>
      <c r="D116" t="s">
        <v>483</v>
      </c>
      <c r="E116" t="s">
        <v>299</v>
      </c>
      <c r="F116" s="5">
        <v>46049</v>
      </c>
    </row>
    <row r="117" spans="1:6">
      <c r="A117" t="s">
        <v>384</v>
      </c>
      <c r="B117" t="s">
        <v>484</v>
      </c>
      <c r="C117" s="5">
        <v>46047</v>
      </c>
      <c r="D117" t="s">
        <v>485</v>
      </c>
      <c r="E117" t="s">
        <v>299</v>
      </c>
      <c r="F117" s="5">
        <v>46049</v>
      </c>
    </row>
    <row r="118" spans="1:6">
      <c r="A118" t="s">
        <v>384</v>
      </c>
      <c r="B118" t="s">
        <v>484</v>
      </c>
      <c r="C118" s="5">
        <v>46047</v>
      </c>
      <c r="D118" t="s">
        <v>483</v>
      </c>
      <c r="E118" t="s">
        <v>263</v>
      </c>
      <c r="F118" s="5">
        <v>46049</v>
      </c>
    </row>
    <row r="119" spans="1:6">
      <c r="A119" t="s">
        <v>368</v>
      </c>
      <c r="B119">
        <v>0</v>
      </c>
      <c r="C119" s="5">
        <v>46048</v>
      </c>
    </row>
    <row r="120" spans="1:6">
      <c r="A120" t="s">
        <v>463</v>
      </c>
      <c r="B120" t="s">
        <v>477</v>
      </c>
      <c r="C120" s="5">
        <v>46048</v>
      </c>
    </row>
    <row r="121" spans="1:6">
      <c r="A121" t="s">
        <v>368</v>
      </c>
      <c r="B121" t="s">
        <v>477</v>
      </c>
      <c r="C121" s="5">
        <v>46048</v>
      </c>
    </row>
    <row r="122" spans="1:6">
      <c r="A122" t="s">
        <v>392</v>
      </c>
      <c r="B122" t="s">
        <v>385</v>
      </c>
      <c r="C122" s="5">
        <v>46047</v>
      </c>
    </row>
    <row r="123" spans="1:6">
      <c r="A123" t="s">
        <v>390</v>
      </c>
      <c r="B123" t="s">
        <v>476</v>
      </c>
      <c r="C123" s="5">
        <v>46047</v>
      </c>
    </row>
    <row r="124" spans="1:6">
      <c r="A124" t="s">
        <v>394</v>
      </c>
      <c r="B124" t="s">
        <v>476</v>
      </c>
      <c r="C124" s="5">
        <v>46047</v>
      </c>
    </row>
    <row r="125" spans="1:6">
      <c r="A125" t="s">
        <v>396</v>
      </c>
      <c r="B125" t="s">
        <v>476</v>
      </c>
      <c r="C125" s="5">
        <v>46047</v>
      </c>
    </row>
    <row r="126" spans="1:6">
      <c r="A126" t="s">
        <v>398</v>
      </c>
      <c r="B126" t="s">
        <v>476</v>
      </c>
      <c r="C126" s="5">
        <v>46047</v>
      </c>
    </row>
    <row r="127" spans="1:6">
      <c r="A127" t="s">
        <v>400</v>
      </c>
      <c r="B127" t="s">
        <v>477</v>
      </c>
      <c r="C127" s="5">
        <v>46047</v>
      </c>
    </row>
    <row r="128" spans="1:6">
      <c r="A128" t="s">
        <v>402</v>
      </c>
      <c r="B128" t="s">
        <v>477</v>
      </c>
      <c r="C128" s="5">
        <v>46048</v>
      </c>
    </row>
    <row r="129" spans="1:3">
      <c r="A129" t="s">
        <v>348</v>
      </c>
      <c r="B129" t="s">
        <v>476</v>
      </c>
      <c r="C129" s="5">
        <v>46047</v>
      </c>
    </row>
    <row r="130" spans="1:3">
      <c r="A130" t="s">
        <v>405</v>
      </c>
      <c r="B130" t="s">
        <v>486</v>
      </c>
      <c r="C130" s="5">
        <v>46047</v>
      </c>
    </row>
    <row r="131" spans="1:3">
      <c r="A131" t="s">
        <v>407</v>
      </c>
      <c r="B131" t="s">
        <v>476</v>
      </c>
      <c r="C131" s="5">
        <v>46047</v>
      </c>
    </row>
    <row r="132" spans="1:3">
      <c r="A132" t="s">
        <v>412</v>
      </c>
      <c r="B132" t="s">
        <v>476</v>
      </c>
      <c r="C132" s="5">
        <v>46047</v>
      </c>
    </row>
    <row r="133" spans="1:3">
      <c r="A133" t="s">
        <v>414</v>
      </c>
      <c r="B133" t="s">
        <v>476</v>
      </c>
      <c r="C133" s="5">
        <v>46047</v>
      </c>
    </row>
    <row r="134" spans="1:3">
      <c r="A134" t="s">
        <v>416</v>
      </c>
      <c r="B134" t="s">
        <v>385</v>
      </c>
      <c r="C134" s="5">
        <v>46047</v>
      </c>
    </row>
    <row r="135" spans="1:3">
      <c r="A135" t="s">
        <v>418</v>
      </c>
      <c r="B135" t="s">
        <v>385</v>
      </c>
      <c r="C135" s="5">
        <v>46047</v>
      </c>
    </row>
    <row r="136" spans="1:3">
      <c r="A136" t="s">
        <v>420</v>
      </c>
      <c r="B136" t="s">
        <v>486</v>
      </c>
      <c r="C136" s="5">
        <v>46047</v>
      </c>
    </row>
    <row r="137" spans="1:3">
      <c r="A137" t="s">
        <v>422</v>
      </c>
      <c r="B137" t="s">
        <v>476</v>
      </c>
      <c r="C137" s="5">
        <v>46047</v>
      </c>
    </row>
    <row r="138" spans="1:3">
      <c r="A138" t="s">
        <v>425</v>
      </c>
      <c r="B138" t="s">
        <v>477</v>
      </c>
      <c r="C138" s="5">
        <v>46047</v>
      </c>
    </row>
    <row r="139" spans="1:3">
      <c r="A139" t="s">
        <v>427</v>
      </c>
      <c r="B139" t="s">
        <v>383</v>
      </c>
      <c r="C139" s="5">
        <v>46047</v>
      </c>
    </row>
    <row r="140" spans="1:3">
      <c r="A140" t="s">
        <v>427</v>
      </c>
      <c r="B140" t="s">
        <v>385</v>
      </c>
      <c r="C140" s="5">
        <v>46047</v>
      </c>
    </row>
    <row r="141" spans="1:3">
      <c r="A141" t="s">
        <v>429</v>
      </c>
      <c r="B141" t="s">
        <v>383</v>
      </c>
      <c r="C141" s="5">
        <v>46047</v>
      </c>
    </row>
    <row r="142" spans="1:3">
      <c r="A142" t="s">
        <v>431</v>
      </c>
      <c r="B142" t="s">
        <v>477</v>
      </c>
      <c r="C142" s="5">
        <v>46047</v>
      </c>
    </row>
    <row r="143" spans="1:3">
      <c r="A143" t="s">
        <v>433</v>
      </c>
      <c r="B143" t="s">
        <v>383</v>
      </c>
      <c r="C143" s="5">
        <v>46047</v>
      </c>
    </row>
    <row r="144" spans="1:3">
      <c r="A144" t="s">
        <v>435</v>
      </c>
      <c r="B144" t="s">
        <v>476</v>
      </c>
      <c r="C144" s="5">
        <v>46047</v>
      </c>
    </row>
    <row r="145" spans="1:3">
      <c r="A145" t="s">
        <v>379</v>
      </c>
      <c r="B145" t="s">
        <v>476</v>
      </c>
      <c r="C145" s="5">
        <v>46047</v>
      </c>
    </row>
    <row r="146" spans="1:3">
      <c r="A146" t="s">
        <v>437</v>
      </c>
      <c r="B146" t="s">
        <v>476</v>
      </c>
      <c r="C146" s="5">
        <v>46047</v>
      </c>
    </row>
    <row r="147" spans="1:3">
      <c r="A147" t="s">
        <v>439</v>
      </c>
      <c r="B147" t="s">
        <v>385</v>
      </c>
      <c r="C147" s="5">
        <v>46047</v>
      </c>
    </row>
    <row r="148" spans="1:3">
      <c r="A148" t="s">
        <v>441</v>
      </c>
      <c r="B148" t="s">
        <v>486</v>
      </c>
      <c r="C148" s="5">
        <v>46047</v>
      </c>
    </row>
    <row r="149" spans="1:3">
      <c r="A149" t="s">
        <v>443</v>
      </c>
      <c r="B149" t="s">
        <v>487</v>
      </c>
      <c r="C149" s="5">
        <v>46048</v>
      </c>
    </row>
    <row r="150" spans="1:3">
      <c r="A150" t="s">
        <v>461</v>
      </c>
      <c r="B150" t="s">
        <v>487</v>
      </c>
      <c r="C150" s="5">
        <v>46048</v>
      </c>
    </row>
    <row r="151" spans="1:3">
      <c r="A151" t="s">
        <v>459</v>
      </c>
      <c r="B151" t="s">
        <v>477</v>
      </c>
      <c r="C151" s="5">
        <v>46048</v>
      </c>
    </row>
    <row r="152" spans="1:3">
      <c r="A152" t="s">
        <v>457</v>
      </c>
      <c r="B152" t="s">
        <v>477</v>
      </c>
      <c r="C152" s="5">
        <v>46048</v>
      </c>
    </row>
    <row r="153" spans="1:3">
      <c r="A153" t="s">
        <v>443</v>
      </c>
      <c r="B153" t="s">
        <v>476</v>
      </c>
      <c r="C153" s="5">
        <v>46048</v>
      </c>
    </row>
    <row r="154" spans="1:3">
      <c r="A154" t="s">
        <v>445</v>
      </c>
      <c r="B154" t="s">
        <v>477</v>
      </c>
      <c r="C154" s="5">
        <v>46048</v>
      </c>
    </row>
    <row r="155" spans="1:3">
      <c r="A155" t="s">
        <v>447</v>
      </c>
      <c r="B155" t="s">
        <v>476</v>
      </c>
      <c r="C155" s="5">
        <v>46048</v>
      </c>
    </row>
    <row r="156" spans="1:3">
      <c r="A156" t="s">
        <v>455</v>
      </c>
      <c r="B156" t="s">
        <v>487</v>
      </c>
      <c r="C156" s="5">
        <v>46048</v>
      </c>
    </row>
    <row r="157" spans="1:3">
      <c r="A157" t="s">
        <v>453</v>
      </c>
      <c r="B157" t="s">
        <v>487</v>
      </c>
      <c r="C157" s="5">
        <v>46048</v>
      </c>
    </row>
    <row r="158" spans="1:3">
      <c r="A158" t="s">
        <v>451</v>
      </c>
      <c r="B158" t="s">
        <v>487</v>
      </c>
      <c r="C158" s="5">
        <v>46048</v>
      </c>
    </row>
    <row r="159" spans="1:3">
      <c r="A159" t="s">
        <v>449</v>
      </c>
      <c r="B159" t="s">
        <v>487</v>
      </c>
      <c r="C159" s="5">
        <v>46048</v>
      </c>
    </row>
    <row r="160" spans="1:3">
      <c r="A160" t="s">
        <v>488</v>
      </c>
      <c r="B160">
        <v>0</v>
      </c>
      <c r="C160" s="5">
        <v>46048</v>
      </c>
    </row>
    <row r="161" spans="1:3">
      <c r="A161" t="s">
        <v>488</v>
      </c>
      <c r="B161">
        <v>0</v>
      </c>
      <c r="C161" s="5">
        <v>46048</v>
      </c>
    </row>
    <row r="162" spans="1:3">
      <c r="A162" t="s">
        <v>489</v>
      </c>
      <c r="B162" t="s">
        <v>320</v>
      </c>
      <c r="C162" s="5">
        <v>46048</v>
      </c>
    </row>
    <row r="163" spans="1:3">
      <c r="A163" t="s">
        <v>490</v>
      </c>
      <c r="B163" t="s">
        <v>491</v>
      </c>
      <c r="C163" s="5">
        <v>46048</v>
      </c>
    </row>
    <row r="164" spans="1:3">
      <c r="A164" t="s">
        <v>492</v>
      </c>
      <c r="B164" t="s">
        <v>262</v>
      </c>
      <c r="C164" s="5">
        <v>46048</v>
      </c>
    </row>
    <row r="165" spans="1:3">
      <c r="A165" t="s">
        <v>493</v>
      </c>
      <c r="B165" t="s">
        <v>262</v>
      </c>
      <c r="C165" s="5">
        <v>46048</v>
      </c>
    </row>
    <row r="166" spans="1:3">
      <c r="A166" t="s">
        <v>494</v>
      </c>
      <c r="B166" t="s">
        <v>297</v>
      </c>
      <c r="C166" s="5">
        <v>46048</v>
      </c>
    </row>
    <row r="167" spans="1:3">
      <c r="A167" t="s">
        <v>495</v>
      </c>
      <c r="B167" t="s">
        <v>275</v>
      </c>
      <c r="C167" s="5">
        <v>46048</v>
      </c>
    </row>
    <row r="168" spans="1:3">
      <c r="A168" t="s">
        <v>471</v>
      </c>
      <c r="B168" t="s">
        <v>251</v>
      </c>
      <c r="C168" s="5">
        <v>46048</v>
      </c>
    </row>
    <row r="169" spans="1:3">
      <c r="A169" t="s">
        <v>351</v>
      </c>
      <c r="B169" t="s">
        <v>275</v>
      </c>
      <c r="C169" s="5">
        <v>46048</v>
      </c>
    </row>
    <row r="170" spans="1:3">
      <c r="A170" t="s">
        <v>496</v>
      </c>
      <c r="B170" t="s">
        <v>297</v>
      </c>
      <c r="C170" s="5">
        <v>46048</v>
      </c>
    </row>
    <row r="171" spans="1:3">
      <c r="A171" t="s">
        <v>497</v>
      </c>
      <c r="B171" t="s">
        <v>297</v>
      </c>
      <c r="C171" s="5">
        <v>46048</v>
      </c>
    </row>
    <row r="172" spans="1:3">
      <c r="A172" t="s">
        <v>497</v>
      </c>
      <c r="B172" t="s">
        <v>262</v>
      </c>
      <c r="C172" s="5">
        <v>46048</v>
      </c>
    </row>
    <row r="173" spans="1:3">
      <c r="A173" t="s">
        <v>498</v>
      </c>
      <c r="B173" t="s">
        <v>297</v>
      </c>
      <c r="C173" s="5">
        <v>46048</v>
      </c>
    </row>
    <row r="174" spans="1:3">
      <c r="A174" t="s">
        <v>499</v>
      </c>
      <c r="B174" t="s">
        <v>299</v>
      </c>
      <c r="C174" s="5">
        <v>46048</v>
      </c>
    </row>
    <row r="175" spans="1:3">
      <c r="A175" t="s">
        <v>500</v>
      </c>
      <c r="B175" t="s">
        <v>297</v>
      </c>
      <c r="C175" s="5">
        <v>46048</v>
      </c>
    </row>
    <row r="176" spans="1:3">
      <c r="A176" t="s">
        <v>501</v>
      </c>
      <c r="B176" t="s">
        <v>275</v>
      </c>
      <c r="C176" s="5">
        <v>46048</v>
      </c>
    </row>
    <row r="177" spans="1:3">
      <c r="A177" t="s">
        <v>502</v>
      </c>
      <c r="B177" t="s">
        <v>275</v>
      </c>
      <c r="C177" s="5">
        <v>46048</v>
      </c>
    </row>
    <row r="178" spans="1:3">
      <c r="A178" t="s">
        <v>503</v>
      </c>
      <c r="B178" t="s">
        <v>299</v>
      </c>
      <c r="C178" s="5">
        <v>46048</v>
      </c>
    </row>
    <row r="179" spans="1:3">
      <c r="A179" t="s">
        <v>504</v>
      </c>
      <c r="B179" t="s">
        <v>299</v>
      </c>
      <c r="C179" s="5">
        <v>46048</v>
      </c>
    </row>
    <row r="180" spans="1:3">
      <c r="A180" t="s">
        <v>505</v>
      </c>
      <c r="B180" t="s">
        <v>262</v>
      </c>
      <c r="C180" s="5">
        <v>46048</v>
      </c>
    </row>
    <row r="181" spans="1:3">
      <c r="A181" t="s">
        <v>379</v>
      </c>
      <c r="B181" t="s">
        <v>275</v>
      </c>
      <c r="C181" s="5">
        <v>46048</v>
      </c>
    </row>
    <row r="182" spans="1:3">
      <c r="A182" t="s">
        <v>506</v>
      </c>
      <c r="B182" t="s">
        <v>251</v>
      </c>
      <c r="C182" s="5">
        <v>46048</v>
      </c>
    </row>
    <row r="183" spans="1:3">
      <c r="A183" t="s">
        <v>441</v>
      </c>
      <c r="B183" t="s">
        <v>481</v>
      </c>
      <c r="C183" s="5">
        <v>46048</v>
      </c>
    </row>
    <row r="184" spans="1:3">
      <c r="A184" t="s">
        <v>507</v>
      </c>
      <c r="B184" t="s">
        <v>297</v>
      </c>
      <c r="C184" s="5">
        <v>46048</v>
      </c>
    </row>
    <row r="185" spans="1:3">
      <c r="A185" t="s">
        <v>363</v>
      </c>
      <c r="B185" t="s">
        <v>297</v>
      </c>
      <c r="C185" s="5">
        <v>46048</v>
      </c>
    </row>
    <row r="186" spans="1:3">
      <c r="A186" t="s">
        <v>508</v>
      </c>
      <c r="B186" t="s">
        <v>262</v>
      </c>
      <c r="C186" s="5">
        <v>46048</v>
      </c>
    </row>
    <row r="187" spans="1:3">
      <c r="A187" t="s">
        <v>509</v>
      </c>
      <c r="B187" t="s">
        <v>297</v>
      </c>
      <c r="C187" s="5">
        <v>46048</v>
      </c>
    </row>
    <row r="188" spans="1:3">
      <c r="A188" t="s">
        <v>509</v>
      </c>
      <c r="B188" t="s">
        <v>262</v>
      </c>
      <c r="C188" s="5">
        <v>46048</v>
      </c>
    </row>
    <row r="189" spans="1:3">
      <c r="A189" t="s">
        <v>510</v>
      </c>
      <c r="B189" t="s">
        <v>262</v>
      </c>
      <c r="C189" s="5">
        <v>46048</v>
      </c>
    </row>
    <row r="190" spans="1:3">
      <c r="A190" t="s">
        <v>394</v>
      </c>
      <c r="B190" t="s">
        <v>297</v>
      </c>
      <c r="C190" s="5">
        <v>46048</v>
      </c>
    </row>
    <row r="191" spans="1:3">
      <c r="A191" t="s">
        <v>511</v>
      </c>
      <c r="B191" t="s">
        <v>262</v>
      </c>
      <c r="C191" s="5">
        <v>46048</v>
      </c>
    </row>
    <row r="192" spans="1:3">
      <c r="A192" t="s">
        <v>512</v>
      </c>
      <c r="B192" t="s">
        <v>297</v>
      </c>
      <c r="C192" s="5">
        <v>46049</v>
      </c>
    </row>
    <row r="193" spans="1:3">
      <c r="A193" t="s">
        <v>513</v>
      </c>
      <c r="B193" t="s">
        <v>297</v>
      </c>
      <c r="C193" s="5">
        <v>46049</v>
      </c>
    </row>
    <row r="194" spans="1:3">
      <c r="A194" t="s">
        <v>514</v>
      </c>
      <c r="B194" t="s">
        <v>297</v>
      </c>
      <c r="C194" s="5">
        <v>46049</v>
      </c>
    </row>
    <row r="195" spans="1:3">
      <c r="A195" t="s">
        <v>515</v>
      </c>
      <c r="B195" t="s">
        <v>297</v>
      </c>
      <c r="C195" s="5">
        <v>46049</v>
      </c>
    </row>
    <row r="196" spans="1:3">
      <c r="A196" t="s">
        <v>516</v>
      </c>
      <c r="B196" t="s">
        <v>297</v>
      </c>
      <c r="C196" s="5">
        <v>46049</v>
      </c>
    </row>
    <row r="197" spans="1:3">
      <c r="A197" t="s">
        <v>517</v>
      </c>
      <c r="B197" t="s">
        <v>297</v>
      </c>
      <c r="C197" s="5">
        <v>46049</v>
      </c>
    </row>
    <row r="198" spans="1:3">
      <c r="A198" t="s">
        <v>518</v>
      </c>
      <c r="B198" t="s">
        <v>297</v>
      </c>
      <c r="C198" s="5">
        <v>46049</v>
      </c>
    </row>
    <row r="199" spans="1:3">
      <c r="A199" t="s">
        <v>363</v>
      </c>
      <c r="B199">
        <v>0</v>
      </c>
      <c r="C199" s="5">
        <v>46048</v>
      </c>
    </row>
    <row r="200" spans="1:3">
      <c r="A200" t="s">
        <v>508</v>
      </c>
      <c r="B200">
        <v>0</v>
      </c>
      <c r="C200" s="5">
        <v>46048</v>
      </c>
    </row>
    <row r="201" spans="1:3">
      <c r="A201" t="s">
        <v>519</v>
      </c>
      <c r="B201" t="s">
        <v>319</v>
      </c>
      <c r="C201" s="5">
        <v>46049</v>
      </c>
    </row>
    <row r="202" spans="1:3">
      <c r="A202" t="s">
        <v>519</v>
      </c>
      <c r="B202" t="s">
        <v>319</v>
      </c>
      <c r="C202" s="5">
        <v>46049</v>
      </c>
    </row>
    <row r="203" spans="1:3">
      <c r="A203" t="s">
        <v>519</v>
      </c>
      <c r="B203" t="s">
        <v>313</v>
      </c>
      <c r="C203" s="5">
        <v>46049</v>
      </c>
    </row>
    <row r="204" spans="1:3">
      <c r="A204" t="s">
        <v>519</v>
      </c>
      <c r="C204" s="5">
        <v>46049</v>
      </c>
    </row>
    <row r="205" spans="1:3">
      <c r="A205" t="s">
        <v>519</v>
      </c>
      <c r="B205" t="s">
        <v>319</v>
      </c>
      <c r="C205" s="5">
        <v>46049</v>
      </c>
    </row>
    <row r="206" spans="1:3">
      <c r="A206" t="s">
        <v>520</v>
      </c>
      <c r="B206" t="s">
        <v>521</v>
      </c>
      <c r="C206" s="5">
        <v>46049</v>
      </c>
    </row>
    <row r="207" spans="1:3">
      <c r="A207" t="s">
        <v>522</v>
      </c>
      <c r="B207" t="s">
        <v>304</v>
      </c>
      <c r="C207" s="5">
        <v>46049</v>
      </c>
    </row>
    <row r="208" spans="1:3">
      <c r="A208" t="s">
        <v>464</v>
      </c>
      <c r="B208" t="s">
        <v>523</v>
      </c>
      <c r="C208" s="5">
        <v>46049</v>
      </c>
    </row>
    <row r="209" spans="1:3">
      <c r="A209" t="s">
        <v>524</v>
      </c>
      <c r="B209" t="s">
        <v>313</v>
      </c>
      <c r="C209" s="5">
        <v>46049</v>
      </c>
    </row>
    <row r="210" spans="1:3">
      <c r="A210" t="s">
        <v>524</v>
      </c>
      <c r="B210" t="s">
        <v>313</v>
      </c>
      <c r="C210" s="5">
        <v>46049</v>
      </c>
    </row>
    <row r="211" spans="1:3">
      <c r="A211" t="s">
        <v>524</v>
      </c>
      <c r="B211" t="s">
        <v>313</v>
      </c>
      <c r="C211" s="5">
        <v>46049</v>
      </c>
    </row>
    <row r="212" spans="1:3">
      <c r="A212" t="s">
        <v>480</v>
      </c>
      <c r="B212" t="s">
        <v>241</v>
      </c>
      <c r="C212" s="5">
        <v>46049</v>
      </c>
    </row>
    <row r="213" spans="1:3">
      <c r="A213" t="s">
        <v>522</v>
      </c>
      <c r="B213" t="s">
        <v>241</v>
      </c>
      <c r="C213" s="5">
        <v>46049</v>
      </c>
    </row>
    <row r="214" spans="1:3">
      <c r="A214" t="s">
        <v>522</v>
      </c>
      <c r="B214" t="s">
        <v>241</v>
      </c>
      <c r="C214" s="5">
        <v>46049</v>
      </c>
    </row>
    <row r="215" spans="1:3">
      <c r="A215" t="s">
        <v>522</v>
      </c>
      <c r="B215" t="s">
        <v>241</v>
      </c>
      <c r="C215" s="5">
        <v>46049</v>
      </c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097D8-1220-4DDE-867B-DE8A0147FE1D}">
  <sheetPr codeName="Sheet2"/>
  <dimension ref="A1:M102"/>
  <sheetViews>
    <sheetView topLeftCell="A40" workbookViewId="0">
      <selection activeCell="G67" sqref="G67"/>
    </sheetView>
  </sheetViews>
  <sheetFormatPr defaultColWidth="9.140625" defaultRowHeight="15"/>
  <cols>
    <col min="1" max="1" width="8.85546875" style="1" bestFit="1" customWidth="1"/>
    <col min="2" max="2" width="13.42578125" style="1" bestFit="1" customWidth="1"/>
    <col min="3" max="3" width="17.85546875" style="4" bestFit="1" customWidth="1"/>
    <col min="4" max="4" width="15" style="1" bestFit="1" customWidth="1"/>
    <col min="5" max="5" width="17.140625" style="1" bestFit="1" customWidth="1"/>
    <col min="6" max="6" width="12.140625" style="1" bestFit="1" customWidth="1"/>
    <col min="7" max="7" width="18.7109375" style="1" bestFit="1" customWidth="1"/>
    <col min="8" max="8" width="12.140625" style="1" bestFit="1" customWidth="1"/>
    <col min="9" max="9" width="11.7109375" style="2" bestFit="1" customWidth="1"/>
    <col min="10" max="10" width="10.42578125" style="1" bestFit="1" customWidth="1"/>
    <col min="11" max="11" width="7.85546875" style="1" hidden="1" customWidth="1"/>
    <col min="12" max="12" width="15.42578125" style="1" bestFit="1" customWidth="1"/>
    <col min="13" max="13" width="12.28515625" style="1" bestFit="1" customWidth="1"/>
    <col min="14" max="16384" width="9.140625" style="1"/>
  </cols>
  <sheetData>
    <row r="1" spans="1:13">
      <c r="A1" s="1" t="s">
        <v>7</v>
      </c>
      <c r="B1" t="s">
        <v>525</v>
      </c>
      <c r="C1" s="4" t="s">
        <v>526</v>
      </c>
      <c r="D1" t="s">
        <v>527</v>
      </c>
      <c r="E1" t="s">
        <v>528</v>
      </c>
      <c r="F1" t="s">
        <v>529</v>
      </c>
      <c r="G1" t="s">
        <v>530</v>
      </c>
      <c r="H1" t="s">
        <v>531</v>
      </c>
      <c r="I1" s="1" t="s">
        <v>532</v>
      </c>
      <c r="J1" s="1" t="s">
        <v>533</v>
      </c>
      <c r="L1" s="1">
        <f ca="1">HOUR(NOW())</f>
        <v>15</v>
      </c>
      <c r="M1" s="1">
        <v>4</v>
      </c>
    </row>
    <row r="2" spans="1:13">
      <c r="A2" s="284" t="s">
        <v>534</v>
      </c>
      <c r="B2" t="s">
        <v>535</v>
      </c>
      <c r="C2" s="4">
        <v>45943</v>
      </c>
      <c r="D2"/>
      <c r="E2" s="5"/>
      <c r="F2" s="280" t="s">
        <v>536</v>
      </c>
      <c r="G2" t="s">
        <v>537</v>
      </c>
      <c r="H2" s="5">
        <v>45943</v>
      </c>
      <c r="I2" s="284" t="str">
        <f>DWA[[#This Row],[A/C]]&amp;DWA[[#This Row],[Inbound Flt]]</f>
        <v>BLCPUO695</v>
      </c>
      <c r="J2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" spans="1:13">
      <c r="A3" s="284" t="s">
        <v>534</v>
      </c>
      <c r="B3" t="s">
        <v>535</v>
      </c>
      <c r="C3" s="4">
        <v>45943</v>
      </c>
      <c r="D3"/>
      <c r="E3" s="5"/>
      <c r="F3" s="280" t="s">
        <v>538</v>
      </c>
      <c r="G3" t="s">
        <v>537</v>
      </c>
      <c r="H3" s="5">
        <v>45943</v>
      </c>
      <c r="I3" s="284" t="str">
        <f>DWA[[#This Row],[A/C]]&amp;DWA[[#This Row],[Inbound Flt]]</f>
        <v>BLCPUO695</v>
      </c>
      <c r="J3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" spans="1:13">
      <c r="A4" s="284" t="s">
        <v>534</v>
      </c>
      <c r="B4" t="s">
        <v>535</v>
      </c>
      <c r="C4" s="4">
        <v>45943</v>
      </c>
      <c r="D4"/>
      <c r="E4" s="5"/>
      <c r="F4" s="280" t="s">
        <v>539</v>
      </c>
      <c r="G4" t="s">
        <v>537</v>
      </c>
      <c r="H4" s="5">
        <v>45945</v>
      </c>
      <c r="I4" s="284" t="str">
        <f>DWA[[#This Row],[A/C]]&amp;DWA[[#This Row],[Inbound Flt]]</f>
        <v>BLCPUO695</v>
      </c>
      <c r="J4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" spans="1:13">
      <c r="A5" s="284" t="s">
        <v>534</v>
      </c>
      <c r="B5" t="s">
        <v>535</v>
      </c>
      <c r="C5" s="4">
        <v>45943</v>
      </c>
      <c r="D5"/>
      <c r="E5" s="5"/>
      <c r="F5" s="280" t="s">
        <v>540</v>
      </c>
      <c r="G5" t="s">
        <v>537</v>
      </c>
      <c r="H5" s="5">
        <v>45946</v>
      </c>
      <c r="I5" s="284" t="str">
        <f>DWA[[#This Row],[A/C]]&amp;DWA[[#This Row],[Inbound Flt]]</f>
        <v>BLCPUO695</v>
      </c>
      <c r="J5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" spans="1:13">
      <c r="A6" s="284" t="s">
        <v>534</v>
      </c>
      <c r="B6" t="s">
        <v>535</v>
      </c>
      <c r="C6" s="4">
        <v>45943</v>
      </c>
      <c r="D6"/>
      <c r="E6" s="5"/>
      <c r="F6" s="280" t="s">
        <v>541</v>
      </c>
      <c r="G6" t="s">
        <v>537</v>
      </c>
      <c r="H6" s="5">
        <v>45949</v>
      </c>
      <c r="I6" s="284" t="str">
        <f>DWA[[#This Row],[A/C]]&amp;DWA[[#This Row],[Inbound Flt]]</f>
        <v>BLCPUO695</v>
      </c>
      <c r="J6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7" spans="1:13">
      <c r="A7" s="284" t="s">
        <v>534</v>
      </c>
      <c r="B7" t="s">
        <v>535</v>
      </c>
      <c r="C7" s="4">
        <v>45943</v>
      </c>
      <c r="D7"/>
      <c r="E7" s="5"/>
      <c r="F7" s="280" t="s">
        <v>539</v>
      </c>
      <c r="G7" t="s">
        <v>537</v>
      </c>
      <c r="H7" s="5">
        <v>45949</v>
      </c>
      <c r="I7" s="284" t="str">
        <f>DWA[[#This Row],[A/C]]&amp;DWA[[#This Row],[Inbound Flt]]</f>
        <v>BLCPUO695</v>
      </c>
      <c r="J7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8" spans="1:13">
      <c r="A8" s="284" t="s">
        <v>534</v>
      </c>
      <c r="B8" t="s">
        <v>535</v>
      </c>
      <c r="C8" s="4">
        <v>45943</v>
      </c>
      <c r="D8"/>
      <c r="E8" s="5"/>
      <c r="F8" s="280" t="s">
        <v>542</v>
      </c>
      <c r="G8" t="s">
        <v>537</v>
      </c>
      <c r="H8" s="5">
        <v>45950</v>
      </c>
      <c r="I8" s="284" t="str">
        <f>DWA[[#This Row],[A/C]]&amp;DWA[[#This Row],[Inbound Flt]]</f>
        <v>BLCPUO695</v>
      </c>
      <c r="J8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9" spans="1:13">
      <c r="A9" s="284" t="s">
        <v>543</v>
      </c>
      <c r="B9" t="s">
        <v>544</v>
      </c>
      <c r="C9" s="4">
        <v>46037</v>
      </c>
      <c r="D9"/>
      <c r="E9" s="5"/>
      <c r="F9" s="280" t="s">
        <v>539</v>
      </c>
      <c r="G9">
        <v>65204</v>
      </c>
      <c r="H9" s="5">
        <v>46037</v>
      </c>
      <c r="I9" s="284" t="str">
        <f>DWA[[#This Row],[A/C]]&amp;DWA[[#This Row],[Inbound Flt]]</f>
        <v>BLCRUO577</v>
      </c>
      <c r="J9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0" spans="1:13">
      <c r="A10" s="284" t="s">
        <v>543</v>
      </c>
      <c r="B10" t="s">
        <v>544</v>
      </c>
      <c r="C10" s="4">
        <v>46037</v>
      </c>
      <c r="D10"/>
      <c r="E10" s="5"/>
      <c r="F10" s="280" t="s">
        <v>540</v>
      </c>
      <c r="G10" t="s">
        <v>537</v>
      </c>
      <c r="H10" s="5">
        <v>46039</v>
      </c>
      <c r="I10" s="284" t="str">
        <f>DWA[[#This Row],[A/C]]&amp;DWA[[#This Row],[Inbound Flt]]</f>
        <v>BLCRUO577</v>
      </c>
      <c r="J10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1" spans="1:13">
      <c r="A11" s="284" t="s">
        <v>543</v>
      </c>
      <c r="B11" t="s">
        <v>544</v>
      </c>
      <c r="C11" s="4">
        <v>46037</v>
      </c>
      <c r="D11"/>
      <c r="E11" s="5"/>
      <c r="F11" s="280" t="s">
        <v>542</v>
      </c>
      <c r="G11" t="s">
        <v>537</v>
      </c>
      <c r="H11" s="5">
        <v>46045</v>
      </c>
      <c r="I11" s="284" t="str">
        <f>DWA[[#This Row],[A/C]]&amp;DWA[[#This Row],[Inbound Flt]]</f>
        <v>BLCRUO577</v>
      </c>
      <c r="J11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2" spans="1:13">
      <c r="A12" s="284" t="s">
        <v>543</v>
      </c>
      <c r="B12" t="s">
        <v>544</v>
      </c>
      <c r="C12" s="4">
        <v>46037</v>
      </c>
      <c r="D12"/>
      <c r="E12" s="5"/>
      <c r="F12" s="280" t="s">
        <v>536</v>
      </c>
      <c r="G12"/>
      <c r="H12" s="5">
        <v>46050</v>
      </c>
      <c r="I12" s="284" t="str">
        <f>DWA[[#This Row],[A/C]]&amp;DWA[[#This Row],[Inbound Flt]]</f>
        <v>BLCRUO577</v>
      </c>
      <c r="J12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3" spans="1:13">
      <c r="A13" s="284" t="s">
        <v>543</v>
      </c>
      <c r="B13" t="s">
        <v>545</v>
      </c>
      <c r="C13" s="4">
        <v>46037</v>
      </c>
      <c r="D13"/>
      <c r="E13" s="5"/>
      <c r="F13" s="280" t="s">
        <v>539</v>
      </c>
      <c r="G13" t="s">
        <v>537</v>
      </c>
      <c r="H13" s="5">
        <v>46057</v>
      </c>
      <c r="I13" s="284" t="str">
        <f>DWA[[#This Row],[A/C]]&amp;DWA[[#This Row],[Inbound Flt]]</f>
        <v>BLCRUO827</v>
      </c>
      <c r="J13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4" spans="1:13">
      <c r="A14" s="284" t="s">
        <v>218</v>
      </c>
      <c r="B14" t="s">
        <v>580</v>
      </c>
      <c r="C14" s="4">
        <v>46065</v>
      </c>
      <c r="D14" t="s">
        <v>549</v>
      </c>
      <c r="E14" s="5">
        <v>46066</v>
      </c>
      <c r="F14" s="280" t="s">
        <v>539</v>
      </c>
      <c r="G14" t="s">
        <v>537</v>
      </c>
      <c r="H14" s="5">
        <v>46065</v>
      </c>
      <c r="I14" s="284" t="str">
        <f>DWA[[#This Row],[A/C]]&amp;DWA[[#This Row],[Inbound Flt]]</f>
        <v>BHSLUO663</v>
      </c>
      <c r="J14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5" spans="1:13">
      <c r="A15" s="284" t="s">
        <v>218</v>
      </c>
      <c r="B15" t="s">
        <v>580</v>
      </c>
      <c r="C15" s="4">
        <v>46065</v>
      </c>
      <c r="D15" t="s">
        <v>549</v>
      </c>
      <c r="E15" s="5">
        <v>46066</v>
      </c>
      <c r="F15" s="280" t="s">
        <v>536</v>
      </c>
      <c r="G15">
        <v>66812</v>
      </c>
      <c r="H15" s="5">
        <v>46065</v>
      </c>
      <c r="I15" s="284" t="str">
        <f>DWA[[#This Row],[A/C]]&amp;DWA[[#This Row],[Inbound Flt]]</f>
        <v>BHSLUO663</v>
      </c>
      <c r="J15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6" spans="1:13">
      <c r="A16" s="284" t="s">
        <v>58</v>
      </c>
      <c r="B16" t="s">
        <v>574</v>
      </c>
      <c r="C16" s="4">
        <v>46065</v>
      </c>
      <c r="D16" t="s">
        <v>560</v>
      </c>
      <c r="E16" s="5">
        <v>46066</v>
      </c>
      <c r="F16" s="280" t="s">
        <v>540</v>
      </c>
      <c r="G16" t="s">
        <v>537</v>
      </c>
      <c r="H16" s="5">
        <v>46065</v>
      </c>
      <c r="I16" s="284" t="str">
        <f>DWA[[#This Row],[A/C]]&amp;DWA[[#This Row],[Inbound Flt]]</f>
        <v>BHSMUO787</v>
      </c>
      <c r="J16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17" spans="1:10">
      <c r="A17" s="284" t="s">
        <v>58</v>
      </c>
      <c r="B17" t="s">
        <v>574</v>
      </c>
      <c r="C17" s="4">
        <v>46065</v>
      </c>
      <c r="D17" t="s">
        <v>560</v>
      </c>
      <c r="E17" s="5">
        <v>46066</v>
      </c>
      <c r="F17" s="280" t="s">
        <v>539</v>
      </c>
      <c r="G17">
        <v>66984</v>
      </c>
      <c r="H17" s="5">
        <v>46065</v>
      </c>
      <c r="I17" s="284" t="str">
        <f>DWA[[#This Row],[A/C]]&amp;DWA[[#This Row],[Inbound Flt]]</f>
        <v>BHSMUO787</v>
      </c>
      <c r="J17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8" spans="1:10">
      <c r="A18" s="284" t="s">
        <v>186</v>
      </c>
      <c r="B18" t="s">
        <v>581</v>
      </c>
      <c r="C18" s="4">
        <v>46065</v>
      </c>
      <c r="D18" t="s">
        <v>582</v>
      </c>
      <c r="E18" s="5">
        <v>46066</v>
      </c>
      <c r="F18" s="280" t="s">
        <v>536</v>
      </c>
      <c r="G18" t="s">
        <v>537</v>
      </c>
      <c r="H18" s="5">
        <v>46065</v>
      </c>
      <c r="I18" s="284" t="str">
        <f>DWA[[#This Row],[A/C]]&amp;DWA[[#This Row],[Inbound Flt]]</f>
        <v>BHSNUO251</v>
      </c>
      <c r="J18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19" spans="1:10">
      <c r="A19" s="284" t="s">
        <v>108</v>
      </c>
      <c r="B19" t="s">
        <v>567</v>
      </c>
      <c r="C19" s="4">
        <v>46065</v>
      </c>
      <c r="D19" t="s">
        <v>568</v>
      </c>
      <c r="E19" s="5">
        <v>46066</v>
      </c>
      <c r="F19" s="280" t="s">
        <v>536</v>
      </c>
      <c r="G19" t="s">
        <v>537</v>
      </c>
      <c r="H19" s="5">
        <v>46065</v>
      </c>
      <c r="I19" s="284" t="str">
        <f>DWA[[#This Row],[A/C]]&amp;DWA[[#This Row],[Inbound Flt]]</f>
        <v>BKKAUO693</v>
      </c>
      <c r="J19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20" spans="1:10">
      <c r="A20" s="284" t="s">
        <v>68</v>
      </c>
      <c r="B20" t="s">
        <v>554</v>
      </c>
      <c r="C20" s="4">
        <v>46065</v>
      </c>
      <c r="D20" t="s">
        <v>572</v>
      </c>
      <c r="E20" s="5">
        <v>46066</v>
      </c>
      <c r="F20" s="280" t="s">
        <v>540</v>
      </c>
      <c r="G20" t="s">
        <v>537</v>
      </c>
      <c r="H20" s="5">
        <v>46065</v>
      </c>
      <c r="I20" s="284" t="str">
        <f>DWA[[#This Row],[A/C]]&amp;DWA[[#This Row],[Inbound Flt]]</f>
        <v>BKKDUO627</v>
      </c>
      <c r="J20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21" spans="1:10">
      <c r="A21" s="284" t="s">
        <v>68</v>
      </c>
      <c r="B21" t="s">
        <v>554</v>
      </c>
      <c r="C21" s="4">
        <v>46065</v>
      </c>
      <c r="D21" t="s">
        <v>572</v>
      </c>
      <c r="E21" s="5">
        <v>46066</v>
      </c>
      <c r="F21" s="280" t="s">
        <v>539</v>
      </c>
      <c r="G21" t="s">
        <v>537</v>
      </c>
      <c r="H21" s="5">
        <v>46065</v>
      </c>
      <c r="I21" s="284" t="str">
        <f>DWA[[#This Row],[A/C]]&amp;DWA[[#This Row],[Inbound Flt]]</f>
        <v>BKKDUO627</v>
      </c>
      <c r="J21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22" spans="1:10">
      <c r="A22" s="284" t="s">
        <v>60</v>
      </c>
      <c r="B22" t="s">
        <v>550</v>
      </c>
      <c r="C22" s="4">
        <v>46065</v>
      </c>
      <c r="D22" t="s">
        <v>555</v>
      </c>
      <c r="E22" s="5">
        <v>46066</v>
      </c>
      <c r="F22" s="280" t="s">
        <v>539</v>
      </c>
      <c r="G22">
        <v>66913</v>
      </c>
      <c r="H22" s="5">
        <v>46065</v>
      </c>
      <c r="I22" s="284" t="str">
        <f>DWA[[#This Row],[A/C]]&amp;DWA[[#This Row],[Inbound Flt]]</f>
        <v>BKKFUO651</v>
      </c>
      <c r="J22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23" spans="1:10">
      <c r="A23" s="284" t="s">
        <v>84</v>
      </c>
      <c r="B23" t="s">
        <v>570</v>
      </c>
      <c r="C23" s="4">
        <v>46065</v>
      </c>
      <c r="D23" t="s">
        <v>583</v>
      </c>
      <c r="E23" s="5">
        <v>46066</v>
      </c>
      <c r="F23" s="280" t="s">
        <v>539</v>
      </c>
      <c r="G23" t="s">
        <v>537</v>
      </c>
      <c r="H23" s="5">
        <v>46065</v>
      </c>
      <c r="I23" s="284" t="str">
        <f>DWA[[#This Row],[A/C]]&amp;DWA[[#This Row],[Inbound Flt]]</f>
        <v>BKKGUO117</v>
      </c>
      <c r="J23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24" spans="1:10">
      <c r="A24" s="284" t="s">
        <v>113</v>
      </c>
      <c r="B24" t="s">
        <v>571</v>
      </c>
      <c r="C24" s="4">
        <v>46065</v>
      </c>
      <c r="D24" t="s">
        <v>584</v>
      </c>
      <c r="E24" s="5">
        <v>46066</v>
      </c>
      <c r="F24" s="280" t="s">
        <v>540</v>
      </c>
      <c r="G24" t="s">
        <v>537</v>
      </c>
      <c r="H24" s="5">
        <v>46065</v>
      </c>
      <c r="I24" s="284" t="str">
        <f>DWA[[#This Row],[A/C]]&amp;DWA[[#This Row],[Inbound Flt]]</f>
        <v>BKKIUO647</v>
      </c>
      <c r="J24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25" spans="1:10">
      <c r="A25" s="284" t="s">
        <v>30</v>
      </c>
      <c r="B25" t="s">
        <v>563</v>
      </c>
      <c r="C25" s="4">
        <v>46065</v>
      </c>
      <c r="D25" t="s">
        <v>551</v>
      </c>
      <c r="E25" s="5">
        <v>46066</v>
      </c>
      <c r="F25" s="280" t="s">
        <v>540</v>
      </c>
      <c r="G25" t="s">
        <v>537</v>
      </c>
      <c r="H25" s="5">
        <v>46065</v>
      </c>
      <c r="I25" s="284" t="str">
        <f>DWA[[#This Row],[A/C]]&amp;DWA[[#This Row],[Inbound Flt]]</f>
        <v>BKKJUO713</v>
      </c>
      <c r="J25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26" spans="1:10">
      <c r="A26" s="284" t="s">
        <v>30</v>
      </c>
      <c r="B26" t="s">
        <v>563</v>
      </c>
      <c r="C26" s="4">
        <v>46065</v>
      </c>
      <c r="D26" t="s">
        <v>551</v>
      </c>
      <c r="E26" s="5">
        <v>46066</v>
      </c>
      <c r="F26" s="280" t="s">
        <v>539</v>
      </c>
      <c r="G26" t="s">
        <v>537</v>
      </c>
      <c r="H26" s="5">
        <v>46065</v>
      </c>
      <c r="I26" s="284" t="str">
        <f>DWA[[#This Row],[A/C]]&amp;DWA[[#This Row],[Inbound Flt]]</f>
        <v>BKKJUO713</v>
      </c>
      <c r="J26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27" spans="1:10">
      <c r="A27" s="284" t="s">
        <v>30</v>
      </c>
      <c r="B27" t="s">
        <v>563</v>
      </c>
      <c r="C27" s="4">
        <v>46065</v>
      </c>
      <c r="D27" t="s">
        <v>551</v>
      </c>
      <c r="E27" s="5">
        <v>46066</v>
      </c>
      <c r="F27" s="280" t="s">
        <v>542</v>
      </c>
      <c r="G27" t="s">
        <v>537</v>
      </c>
      <c r="H27" s="5">
        <v>46065</v>
      </c>
      <c r="I27" s="284" t="str">
        <f>DWA[[#This Row],[A/C]]&amp;DWA[[#This Row],[Inbound Flt]]</f>
        <v>BKKJUO713</v>
      </c>
      <c r="J27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10D</v>
      </c>
    </row>
    <row r="28" spans="1:10">
      <c r="A28" s="284" t="s">
        <v>92</v>
      </c>
      <c r="B28" t="s">
        <v>558</v>
      </c>
      <c r="C28" s="4">
        <v>46065</v>
      </c>
      <c r="D28" t="s">
        <v>573</v>
      </c>
      <c r="E28" s="5">
        <v>46066</v>
      </c>
      <c r="F28" s="280" t="s">
        <v>540</v>
      </c>
      <c r="G28" t="s">
        <v>537</v>
      </c>
      <c r="H28" s="5">
        <v>46065</v>
      </c>
      <c r="I28" s="284" t="str">
        <f>DWA[[#This Row],[A/C]]&amp;DWA[[#This Row],[Inbound Flt]]</f>
        <v>BKKNUO183</v>
      </c>
      <c r="J28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29" spans="1:10">
      <c r="A29" s="284" t="s">
        <v>172</v>
      </c>
      <c r="B29" t="s">
        <v>585</v>
      </c>
      <c r="C29" s="4">
        <v>46065</v>
      </c>
      <c r="D29" t="s">
        <v>586</v>
      </c>
      <c r="E29" s="5">
        <v>46065</v>
      </c>
      <c r="F29" s="280" t="s">
        <v>540</v>
      </c>
      <c r="G29" t="s">
        <v>537</v>
      </c>
      <c r="H29" s="5">
        <v>46065</v>
      </c>
      <c r="I29" s="284" t="str">
        <f>DWA[[#This Row],[A/C]]&amp;DWA[[#This Row],[Inbound Flt]]</f>
        <v>BKKQUO639</v>
      </c>
      <c r="J29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30" spans="1:10">
      <c r="A30" s="284" t="s">
        <v>161</v>
      </c>
      <c r="B30" t="s">
        <v>544</v>
      </c>
      <c r="C30" s="4">
        <v>46065</v>
      </c>
      <c r="D30" t="s">
        <v>548</v>
      </c>
      <c r="E30" s="5">
        <v>46066</v>
      </c>
      <c r="F30" s="280" t="s">
        <v>539</v>
      </c>
      <c r="G30" t="s">
        <v>537</v>
      </c>
      <c r="H30" s="5">
        <v>46065</v>
      </c>
      <c r="I30" s="284" t="str">
        <f>DWA[[#This Row],[A/C]]&amp;DWA[[#This Row],[Inbound Flt]]</f>
        <v>BLCHUO577</v>
      </c>
      <c r="J30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1" spans="1:10">
      <c r="A31" s="284" t="s">
        <v>89</v>
      </c>
      <c r="B31" t="s">
        <v>576</v>
      </c>
      <c r="C31" s="4">
        <v>46065</v>
      </c>
      <c r="D31" t="s">
        <v>565</v>
      </c>
      <c r="E31" s="5">
        <v>46066</v>
      </c>
      <c r="F31" s="280" t="s">
        <v>536</v>
      </c>
      <c r="G31" t="s">
        <v>537</v>
      </c>
      <c r="H31" s="5">
        <v>46065</v>
      </c>
      <c r="I31" s="284" t="str">
        <f>DWA[[#This Row],[A/C]]&amp;DWA[[#This Row],[Inbound Flt]]</f>
        <v>BLCIUO213</v>
      </c>
      <c r="J31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2" spans="1:10">
      <c r="A32" s="284" t="s">
        <v>138</v>
      </c>
      <c r="B32" t="s">
        <v>559</v>
      </c>
      <c r="C32" s="4">
        <v>46065</v>
      </c>
      <c r="D32" t="s">
        <v>575</v>
      </c>
      <c r="E32" s="5">
        <v>46066</v>
      </c>
      <c r="F32" s="280" t="s">
        <v>536</v>
      </c>
      <c r="G32" t="s">
        <v>537</v>
      </c>
      <c r="H32" s="5">
        <v>46065</v>
      </c>
      <c r="I32" s="284" t="str">
        <f>DWA[[#This Row],[A/C]]&amp;DWA[[#This Row],[Inbound Flt]]</f>
        <v>BLCJUO839</v>
      </c>
      <c r="J32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3" spans="1:10">
      <c r="A33" s="284" t="s">
        <v>151</v>
      </c>
      <c r="B33" t="s">
        <v>587</v>
      </c>
      <c r="C33" s="4">
        <v>46065</v>
      </c>
      <c r="D33" t="s">
        <v>588</v>
      </c>
      <c r="E33" s="5">
        <v>46066</v>
      </c>
      <c r="F33" s="280" t="s">
        <v>539</v>
      </c>
      <c r="G33">
        <v>65778</v>
      </c>
      <c r="H33" s="5">
        <v>46065</v>
      </c>
      <c r="I33" s="284" t="str">
        <f>DWA[[#This Row],[A/C]]&amp;DWA[[#This Row],[Inbound Flt]]</f>
        <v>BLCLUO643</v>
      </c>
      <c r="J33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4" spans="1:10">
      <c r="A34" s="284" t="s">
        <v>168</v>
      </c>
      <c r="B34" t="s">
        <v>546</v>
      </c>
      <c r="C34" s="4">
        <v>46065</v>
      </c>
      <c r="D34" t="s">
        <v>564</v>
      </c>
      <c r="E34" s="5">
        <v>46066</v>
      </c>
      <c r="F34" s="280" t="s">
        <v>540</v>
      </c>
      <c r="G34" t="s">
        <v>537</v>
      </c>
      <c r="H34" s="5">
        <v>46065</v>
      </c>
      <c r="I34" s="284" t="str">
        <f>DWA[[#This Row],[A/C]]&amp;DWA[[#This Row],[Inbound Flt]]</f>
        <v>BLCMUO717</v>
      </c>
      <c r="J34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35" spans="1:10">
      <c r="A35" s="284" t="s">
        <v>142</v>
      </c>
      <c r="B35" t="s">
        <v>589</v>
      </c>
      <c r="C35" s="4">
        <v>46065</v>
      </c>
      <c r="D35" t="s">
        <v>590</v>
      </c>
      <c r="E35" s="5">
        <v>46066</v>
      </c>
      <c r="F35" s="280" t="s">
        <v>538</v>
      </c>
      <c r="G35" t="s">
        <v>537</v>
      </c>
      <c r="H35" s="5">
        <v>46065</v>
      </c>
      <c r="I35" s="284" t="str">
        <f>DWA[[#This Row],[A/C]]&amp;DWA[[#This Row],[Inbound Flt]]</f>
        <v>BLCNUO863</v>
      </c>
      <c r="J35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6" spans="1:10">
      <c r="A36" s="284" t="s">
        <v>534</v>
      </c>
      <c r="B36" t="s">
        <v>537</v>
      </c>
      <c r="D36" t="s">
        <v>537</v>
      </c>
      <c r="E36" s="5"/>
      <c r="F36" s="280" t="s">
        <v>536</v>
      </c>
      <c r="G36" t="s">
        <v>537</v>
      </c>
      <c r="H36" s="5">
        <v>46065</v>
      </c>
      <c r="I36" s="284" t="str">
        <f>DWA[[#This Row],[A/C]]&amp;DWA[[#This Row],[Inbound Flt]]</f>
        <v>BLCP</v>
      </c>
      <c r="J36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7" spans="1:10">
      <c r="A37" s="284" t="s">
        <v>543</v>
      </c>
      <c r="B37" t="s">
        <v>544</v>
      </c>
      <c r="C37" s="4">
        <v>46037</v>
      </c>
      <c r="D37" t="s">
        <v>537</v>
      </c>
      <c r="E37" s="5"/>
      <c r="F37" s="280" t="s">
        <v>539</v>
      </c>
      <c r="G37" t="s">
        <v>537</v>
      </c>
      <c r="H37" s="5">
        <v>46065</v>
      </c>
      <c r="I37" s="284" t="str">
        <f>DWA[[#This Row],[A/C]]&amp;DWA[[#This Row],[Inbound Flt]]</f>
        <v>BLCRUO577</v>
      </c>
      <c r="J37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8" spans="1:10">
      <c r="A38" s="284" t="s">
        <v>24</v>
      </c>
      <c r="B38" t="s">
        <v>552</v>
      </c>
      <c r="C38" s="4">
        <v>46065</v>
      </c>
      <c r="D38" t="s">
        <v>562</v>
      </c>
      <c r="E38" s="5">
        <v>46066</v>
      </c>
      <c r="F38" s="280" t="s">
        <v>536</v>
      </c>
      <c r="G38" t="s">
        <v>537</v>
      </c>
      <c r="H38" s="5">
        <v>46065</v>
      </c>
      <c r="I38" s="284" t="str">
        <f>DWA[[#This Row],[A/C]]&amp;DWA[[#This Row],[Inbound Flt]]</f>
        <v>BLCSUO689</v>
      </c>
      <c r="J38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39" spans="1:10">
      <c r="A39" s="284" t="s">
        <v>180</v>
      </c>
      <c r="B39" t="s">
        <v>591</v>
      </c>
      <c r="C39" s="4">
        <v>46065</v>
      </c>
      <c r="D39" t="s">
        <v>592</v>
      </c>
      <c r="E39" s="5">
        <v>46066</v>
      </c>
      <c r="F39" s="280" t="s">
        <v>536</v>
      </c>
      <c r="G39" t="s">
        <v>537</v>
      </c>
      <c r="H39" s="5">
        <v>46065</v>
      </c>
      <c r="I39" s="284" t="str">
        <f>DWA[[#This Row],[A/C]]&amp;DWA[[#This Row],[Inbound Flt]]</f>
        <v>BLEJUO227</v>
      </c>
      <c r="J39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0" spans="1:10">
      <c r="A40" s="284" t="s">
        <v>180</v>
      </c>
      <c r="B40" t="s">
        <v>591</v>
      </c>
      <c r="C40" s="4">
        <v>46065</v>
      </c>
      <c r="D40" t="s">
        <v>592</v>
      </c>
      <c r="E40" s="5">
        <v>46066</v>
      </c>
      <c r="F40" s="280" t="s">
        <v>540</v>
      </c>
      <c r="G40" t="s">
        <v>537</v>
      </c>
      <c r="H40" s="5">
        <v>46065</v>
      </c>
      <c r="I40" s="284" t="str">
        <f>DWA[[#This Row],[A/C]]&amp;DWA[[#This Row],[Inbound Flt]]</f>
        <v>BLEJUO227</v>
      </c>
      <c r="J40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>72H</v>
      </c>
    </row>
    <row r="41" spans="1:10">
      <c r="A41" s="284" t="s">
        <v>218</v>
      </c>
      <c r="B41" t="s">
        <v>1102</v>
      </c>
      <c r="C41" s="4">
        <v>46066</v>
      </c>
      <c r="D41" t="s">
        <v>549</v>
      </c>
      <c r="E41" s="5">
        <v>46067</v>
      </c>
      <c r="F41" s="280" t="s">
        <v>539</v>
      </c>
      <c r="G41" t="s">
        <v>537</v>
      </c>
      <c r="H41" s="5">
        <v>46066</v>
      </c>
      <c r="I41" s="284" t="str">
        <f>DWA[[#This Row],[A/C]]&amp;DWA[[#This Row],[Inbound Flt]]</f>
        <v>BHSLUO729</v>
      </c>
      <c r="J41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2" spans="1:10">
      <c r="A42" s="284" t="s">
        <v>218</v>
      </c>
      <c r="B42" t="s">
        <v>1102</v>
      </c>
      <c r="C42" s="4">
        <v>46066</v>
      </c>
      <c r="D42" t="s">
        <v>549</v>
      </c>
      <c r="E42" s="5">
        <v>46067</v>
      </c>
      <c r="F42" s="280" t="s">
        <v>540</v>
      </c>
      <c r="G42" t="s">
        <v>537</v>
      </c>
      <c r="H42" s="5">
        <v>46066</v>
      </c>
      <c r="I42" s="284" t="str">
        <f>DWA[[#This Row],[A/C]]&amp;DWA[[#This Row],[Inbound Flt]]</f>
        <v>BHSLUO729</v>
      </c>
      <c r="J42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3" spans="1:10">
      <c r="A43" s="284" t="s">
        <v>186</v>
      </c>
      <c r="B43" t="s">
        <v>574</v>
      </c>
      <c r="C43" s="4">
        <v>46066</v>
      </c>
      <c r="D43" t="s">
        <v>560</v>
      </c>
      <c r="E43" s="5">
        <v>46067</v>
      </c>
      <c r="F43" s="280" t="s">
        <v>536</v>
      </c>
      <c r="G43" t="s">
        <v>537</v>
      </c>
      <c r="H43" s="5">
        <v>46066</v>
      </c>
      <c r="I43" s="284" t="str">
        <f>DWA[[#This Row],[A/C]]&amp;DWA[[#This Row],[Inbound Flt]]</f>
        <v>BHSNUO787</v>
      </c>
      <c r="J43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4" spans="1:10">
      <c r="A44" s="284" t="s">
        <v>186</v>
      </c>
      <c r="B44" t="s">
        <v>574</v>
      </c>
      <c r="C44" s="4">
        <v>46066</v>
      </c>
      <c r="D44" t="s">
        <v>560</v>
      </c>
      <c r="E44" s="5">
        <v>46067</v>
      </c>
      <c r="F44" s="280" t="s">
        <v>539</v>
      </c>
      <c r="G44" t="s">
        <v>537</v>
      </c>
      <c r="H44" s="5">
        <v>46066</v>
      </c>
      <c r="I44" s="284" t="str">
        <f>DWA[[#This Row],[A/C]]&amp;DWA[[#This Row],[Inbound Flt]]</f>
        <v>BHSNUO787</v>
      </c>
      <c r="J44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5" spans="1:10">
      <c r="A45" s="284" t="s">
        <v>186</v>
      </c>
      <c r="B45" t="s">
        <v>574</v>
      </c>
      <c r="C45" s="4">
        <v>46066</v>
      </c>
      <c r="D45" t="s">
        <v>560</v>
      </c>
      <c r="E45" s="5">
        <v>46067</v>
      </c>
      <c r="F45" s="280" t="s">
        <v>540</v>
      </c>
      <c r="G45" t="s">
        <v>537</v>
      </c>
      <c r="H45" s="5">
        <v>46066</v>
      </c>
      <c r="I45" s="284" t="str">
        <f>DWA[[#This Row],[A/C]]&amp;DWA[[#This Row],[Inbound Flt]]</f>
        <v>BHSNUO787</v>
      </c>
      <c r="J45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6" spans="1:10">
      <c r="A46" s="284" t="s">
        <v>108</v>
      </c>
      <c r="B46" t="s">
        <v>1178</v>
      </c>
      <c r="C46" s="4">
        <v>46066</v>
      </c>
      <c r="D46" t="s">
        <v>556</v>
      </c>
      <c r="E46" s="5">
        <v>46067</v>
      </c>
      <c r="F46" s="280" t="s">
        <v>542</v>
      </c>
      <c r="G46" t="s">
        <v>537</v>
      </c>
      <c r="H46" s="5">
        <v>46066</v>
      </c>
      <c r="I46" s="284" t="str">
        <f>DWA[[#This Row],[A/C]]&amp;DWA[[#This Row],[Inbound Flt]]</f>
        <v>BKKAUO533</v>
      </c>
      <c r="J46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7" spans="1:10">
      <c r="A47" s="284" t="s">
        <v>163</v>
      </c>
      <c r="B47" t="s">
        <v>552</v>
      </c>
      <c r="C47" s="4">
        <v>46066</v>
      </c>
      <c r="D47" t="s">
        <v>572</v>
      </c>
      <c r="E47" s="5">
        <v>46067</v>
      </c>
      <c r="F47" s="280" t="s">
        <v>536</v>
      </c>
      <c r="G47">
        <v>67092</v>
      </c>
      <c r="H47" s="5">
        <v>46066</v>
      </c>
      <c r="I47" s="284" t="str">
        <f>DWA[[#This Row],[A/C]]&amp;DWA[[#This Row],[Inbound Flt]]</f>
        <v>BKKBUO689</v>
      </c>
      <c r="J47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8" spans="1:10">
      <c r="A48" s="284" t="s">
        <v>163</v>
      </c>
      <c r="B48" t="s">
        <v>552</v>
      </c>
      <c r="C48" s="4">
        <v>46066</v>
      </c>
      <c r="D48" t="s">
        <v>572</v>
      </c>
      <c r="E48" s="5">
        <v>46067</v>
      </c>
      <c r="F48" s="280" t="s">
        <v>539</v>
      </c>
      <c r="G48" t="s">
        <v>537</v>
      </c>
      <c r="H48" s="5">
        <v>46066</v>
      </c>
      <c r="I48" s="284" t="str">
        <f>DWA[[#This Row],[A/C]]&amp;DWA[[#This Row],[Inbound Flt]]</f>
        <v>BKKBUO689</v>
      </c>
      <c r="J48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49" spans="1:10">
      <c r="A49" s="284" t="s">
        <v>163</v>
      </c>
      <c r="B49" t="s">
        <v>552</v>
      </c>
      <c r="C49" s="4">
        <v>46066</v>
      </c>
      <c r="D49" t="s">
        <v>572</v>
      </c>
      <c r="E49" s="5">
        <v>46067</v>
      </c>
      <c r="F49" s="280" t="s">
        <v>540</v>
      </c>
      <c r="G49" t="s">
        <v>537</v>
      </c>
      <c r="H49" s="5">
        <v>46066</v>
      </c>
      <c r="I49" s="284" t="str">
        <f>DWA[[#This Row],[A/C]]&amp;DWA[[#This Row],[Inbound Flt]]</f>
        <v>BKKBUO689</v>
      </c>
      <c r="J49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0" spans="1:10">
      <c r="A50" s="284" t="s">
        <v>40</v>
      </c>
      <c r="B50" t="s">
        <v>566</v>
      </c>
      <c r="C50" s="4">
        <v>46066</v>
      </c>
      <c r="D50" t="s">
        <v>584</v>
      </c>
      <c r="E50" s="5">
        <v>46067</v>
      </c>
      <c r="F50" s="280" t="s">
        <v>539</v>
      </c>
      <c r="G50" t="s">
        <v>537</v>
      </c>
      <c r="H50" s="5">
        <v>46066</v>
      </c>
      <c r="I50" s="284" t="str">
        <f>DWA[[#This Row],[A/C]]&amp;DWA[[#This Row],[Inbound Flt]]</f>
        <v>BKKCUO871</v>
      </c>
      <c r="J50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1" spans="1:10">
      <c r="A51" s="284" t="s">
        <v>40</v>
      </c>
      <c r="B51" t="s">
        <v>566</v>
      </c>
      <c r="C51" s="4">
        <v>46066</v>
      </c>
      <c r="D51" t="s">
        <v>584</v>
      </c>
      <c r="E51" s="5">
        <v>46067</v>
      </c>
      <c r="F51" s="280" t="s">
        <v>540</v>
      </c>
      <c r="G51" t="s">
        <v>537</v>
      </c>
      <c r="H51" s="5">
        <v>46066</v>
      </c>
      <c r="I51" s="284" t="str">
        <f>DWA[[#This Row],[A/C]]&amp;DWA[[#This Row],[Inbound Flt]]</f>
        <v>BKKCUO871</v>
      </c>
      <c r="J51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2" spans="1:10">
      <c r="A52" s="284" t="s">
        <v>60</v>
      </c>
      <c r="B52" t="s">
        <v>569</v>
      </c>
      <c r="C52" s="4">
        <v>46066</v>
      </c>
      <c r="D52" t="s">
        <v>557</v>
      </c>
      <c r="E52" s="5">
        <v>46067</v>
      </c>
      <c r="F52" s="280" t="s">
        <v>540</v>
      </c>
      <c r="G52" t="s">
        <v>537</v>
      </c>
      <c r="H52" s="5">
        <v>46066</v>
      </c>
      <c r="I52" s="284" t="str">
        <f>DWA[[#This Row],[A/C]]&amp;DWA[[#This Row],[Inbound Flt]]</f>
        <v>BKKFUO749</v>
      </c>
      <c r="J52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3" spans="1:10">
      <c r="A53" s="284" t="s">
        <v>84</v>
      </c>
      <c r="B53" t="s">
        <v>550</v>
      </c>
      <c r="C53" s="4">
        <v>46066</v>
      </c>
      <c r="D53" t="s">
        <v>568</v>
      </c>
      <c r="E53" s="5">
        <v>46067</v>
      </c>
      <c r="F53" s="280" t="s">
        <v>540</v>
      </c>
      <c r="G53" t="s">
        <v>537</v>
      </c>
      <c r="H53" s="5">
        <v>46066</v>
      </c>
      <c r="I53" s="284" t="str">
        <f>DWA[[#This Row],[A/C]]&amp;DWA[[#This Row],[Inbound Flt]]</f>
        <v>BKKGUO651</v>
      </c>
      <c r="J53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4" spans="1:10">
      <c r="A54" s="284" t="s">
        <v>73</v>
      </c>
      <c r="B54" t="s">
        <v>1179</v>
      </c>
      <c r="C54" s="4">
        <v>46066</v>
      </c>
      <c r="D54" t="s">
        <v>553</v>
      </c>
      <c r="E54" s="5">
        <v>46067</v>
      </c>
      <c r="F54" s="280" t="s">
        <v>539</v>
      </c>
      <c r="G54" t="s">
        <v>537</v>
      </c>
      <c r="H54" s="5">
        <v>46066</v>
      </c>
      <c r="I54" s="284" t="str">
        <f>DWA[[#This Row],[A/C]]&amp;DWA[[#This Row],[Inbound Flt]]</f>
        <v>BKKLUO685</v>
      </c>
      <c r="J54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5" spans="1:10">
      <c r="A55" s="284" t="s">
        <v>73</v>
      </c>
      <c r="B55" t="s">
        <v>1179</v>
      </c>
      <c r="C55" s="4">
        <v>46066</v>
      </c>
      <c r="D55" t="s">
        <v>553</v>
      </c>
      <c r="E55" s="5">
        <v>46067</v>
      </c>
      <c r="F55" s="280" t="s">
        <v>540</v>
      </c>
      <c r="G55" t="s">
        <v>537</v>
      </c>
      <c r="H55" s="5">
        <v>46066</v>
      </c>
      <c r="I55" s="284" t="str">
        <f>DWA[[#This Row],[A/C]]&amp;DWA[[#This Row],[Inbound Flt]]</f>
        <v>BKKLUO685</v>
      </c>
      <c r="J55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6" spans="1:10">
      <c r="A56" s="284" t="s">
        <v>35</v>
      </c>
      <c r="B56" t="s">
        <v>567</v>
      </c>
      <c r="C56" s="4">
        <v>46066</v>
      </c>
      <c r="D56" t="s">
        <v>551</v>
      </c>
      <c r="E56" s="5">
        <v>46067</v>
      </c>
      <c r="F56" s="280" t="s">
        <v>539</v>
      </c>
      <c r="G56" t="s">
        <v>537</v>
      </c>
      <c r="H56" s="5">
        <v>46066</v>
      </c>
      <c r="I56" s="284" t="str">
        <f>DWA[[#This Row],[A/C]]&amp;DWA[[#This Row],[Inbound Flt]]</f>
        <v>BKKOUO693</v>
      </c>
      <c r="J56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7" spans="1:10">
      <c r="A57" s="284" t="s">
        <v>35</v>
      </c>
      <c r="B57" t="s">
        <v>567</v>
      </c>
      <c r="C57" s="4">
        <v>46066</v>
      </c>
      <c r="D57" t="s">
        <v>551</v>
      </c>
      <c r="E57" s="5">
        <v>46067</v>
      </c>
      <c r="F57" s="280" t="s">
        <v>540</v>
      </c>
      <c r="G57" t="s">
        <v>537</v>
      </c>
      <c r="H57" s="5">
        <v>46066</v>
      </c>
      <c r="I57" s="284" t="str">
        <f>DWA[[#This Row],[A/C]]&amp;DWA[[#This Row],[Inbound Flt]]</f>
        <v>BKKOUO693</v>
      </c>
      <c r="J57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8" spans="1:10">
      <c r="A58" s="284" t="s">
        <v>161</v>
      </c>
      <c r="B58" t="s">
        <v>580</v>
      </c>
      <c r="C58" s="4">
        <v>46066</v>
      </c>
      <c r="D58" t="s">
        <v>577</v>
      </c>
      <c r="E58" s="5">
        <v>46067</v>
      </c>
      <c r="F58" s="280" t="s">
        <v>539</v>
      </c>
      <c r="G58" t="s">
        <v>537</v>
      </c>
      <c r="H58" s="5">
        <v>46066</v>
      </c>
      <c r="I58" s="284" t="str">
        <f>DWA[[#This Row],[A/C]]&amp;DWA[[#This Row],[Inbound Flt]]</f>
        <v>BLCHUO663</v>
      </c>
      <c r="J58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59" spans="1:10">
      <c r="A59" s="284" t="s">
        <v>89</v>
      </c>
      <c r="B59" t="s">
        <v>1103</v>
      </c>
      <c r="C59" s="4">
        <v>46066</v>
      </c>
      <c r="D59" t="s">
        <v>1104</v>
      </c>
      <c r="E59" s="5">
        <v>46067</v>
      </c>
      <c r="F59" s="280" t="s">
        <v>539</v>
      </c>
      <c r="G59" t="s">
        <v>537</v>
      </c>
      <c r="H59" s="5">
        <v>46066</v>
      </c>
      <c r="I59" s="284" t="str">
        <f>DWA[[#This Row],[A/C]]&amp;DWA[[#This Row],[Inbound Flt]]</f>
        <v>BLCIUO273</v>
      </c>
      <c r="J59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0" spans="1:10">
      <c r="A60" s="284" t="s">
        <v>89</v>
      </c>
      <c r="B60" t="s">
        <v>1103</v>
      </c>
      <c r="C60" s="4">
        <v>46066</v>
      </c>
      <c r="D60" t="s">
        <v>1104</v>
      </c>
      <c r="E60" s="5">
        <v>46067</v>
      </c>
      <c r="F60" s="280" t="s">
        <v>539</v>
      </c>
      <c r="G60" t="s">
        <v>537</v>
      </c>
      <c r="H60" s="5">
        <v>46066</v>
      </c>
      <c r="I60" s="284" t="str">
        <f>DWA[[#This Row],[A/C]]&amp;DWA[[#This Row],[Inbound Flt]]</f>
        <v>BLCIUO273</v>
      </c>
      <c r="J60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1" spans="1:10">
      <c r="A61" s="284" t="s">
        <v>89</v>
      </c>
      <c r="B61" t="s">
        <v>1103</v>
      </c>
      <c r="C61" s="4">
        <v>46066</v>
      </c>
      <c r="D61" t="s">
        <v>1104</v>
      </c>
      <c r="E61" s="5">
        <v>46067</v>
      </c>
      <c r="F61" s="280" t="s">
        <v>540</v>
      </c>
      <c r="G61" t="s">
        <v>537</v>
      </c>
      <c r="H61" s="5">
        <v>46066</v>
      </c>
      <c r="I61" s="284" t="str">
        <f>DWA[[#This Row],[A/C]]&amp;DWA[[#This Row],[Inbound Flt]]</f>
        <v>BLCIUO273</v>
      </c>
      <c r="J61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2" spans="1:10">
      <c r="A62" s="284" t="s">
        <v>138</v>
      </c>
      <c r="B62" t="s">
        <v>579</v>
      </c>
      <c r="C62" s="4">
        <v>46066</v>
      </c>
      <c r="D62" t="s">
        <v>575</v>
      </c>
      <c r="E62" s="5">
        <v>46067</v>
      </c>
      <c r="F62" s="280" t="s">
        <v>540</v>
      </c>
      <c r="G62" t="s">
        <v>537</v>
      </c>
      <c r="H62" s="5">
        <v>46066</v>
      </c>
      <c r="I62" s="284" t="str">
        <f>DWA[[#This Row],[A/C]]&amp;DWA[[#This Row],[Inbound Flt]]</f>
        <v>BLCJUO135</v>
      </c>
      <c r="J62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3" spans="1:10">
      <c r="A63" s="284" t="s">
        <v>142</v>
      </c>
      <c r="B63" t="s">
        <v>1105</v>
      </c>
      <c r="C63" s="4">
        <v>46066</v>
      </c>
      <c r="D63" t="s">
        <v>597</v>
      </c>
      <c r="E63" s="5">
        <v>46067</v>
      </c>
      <c r="F63" s="280" t="s">
        <v>539</v>
      </c>
      <c r="G63" t="s">
        <v>537</v>
      </c>
      <c r="H63" s="5">
        <v>46066</v>
      </c>
      <c r="I63" s="284" t="str">
        <f>DWA[[#This Row],[A/C]]&amp;DWA[[#This Row],[Inbound Flt]]</f>
        <v>BLCNUO635</v>
      </c>
      <c r="J63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4" spans="1:10">
      <c r="A64" s="284" t="s">
        <v>142</v>
      </c>
      <c r="B64" t="s">
        <v>1105</v>
      </c>
      <c r="C64" s="4">
        <v>46066</v>
      </c>
      <c r="D64" t="s">
        <v>597</v>
      </c>
      <c r="E64" s="5">
        <v>46067</v>
      </c>
      <c r="F64" s="280" t="s">
        <v>540</v>
      </c>
      <c r="G64" t="s">
        <v>537</v>
      </c>
      <c r="H64" s="5">
        <v>46066</v>
      </c>
      <c r="I64" s="284" t="str">
        <f>DWA[[#This Row],[A/C]]&amp;DWA[[#This Row],[Inbound Flt]]</f>
        <v>BLCNUO635</v>
      </c>
      <c r="J64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5" spans="1:10">
      <c r="A65" s="284" t="s">
        <v>24</v>
      </c>
      <c r="B65" t="s">
        <v>563</v>
      </c>
      <c r="C65" s="4">
        <v>46066</v>
      </c>
      <c r="D65" t="s">
        <v>564</v>
      </c>
      <c r="E65" s="5">
        <v>46067</v>
      </c>
      <c r="F65" s="280" t="s">
        <v>539</v>
      </c>
      <c r="G65">
        <v>66980</v>
      </c>
      <c r="H65" s="5">
        <v>46066</v>
      </c>
      <c r="I65" s="284" t="str">
        <f>DWA[[#This Row],[A/C]]&amp;DWA[[#This Row],[Inbound Flt]]</f>
        <v>BLCSUO713</v>
      </c>
      <c r="J65" s="284" t="str">
        <f ca="1">IF(AND(L$1&lt;24,L$1&gt;18),IF(AND(DWA[[#This Row],[DWA date]]=WORKDAY(TODAY(),0),OR(DWA[[#This Row],[Project ID]]="72H",DWA[[#This Row],[Project ID]]="10D")),DWA[[#This Row],[Project ID]],""),IF(AND(DWA[[#This Row],[DWA date]]=WORKDAY(TODAY(),-1),OR(DWA[[#This Row],[Project ID]]="72H",DWA[[#This Row],[Project ID]]="10D")),DWA[[#This Row],[Project ID]],""))</f>
        <v/>
      </c>
    </row>
    <row r="66" spans="1:10">
      <c r="B66"/>
      <c r="D66"/>
      <c r="E66" s="5"/>
      <c r="F66"/>
      <c r="G66"/>
      <c r="H66" s="5"/>
      <c r="I66" s="1"/>
    </row>
    <row r="67" spans="1:10">
      <c r="A67" s="1" t="s">
        <v>68</v>
      </c>
      <c r="B67" t="s">
        <v>571</v>
      </c>
      <c r="C67" s="4">
        <v>46028</v>
      </c>
      <c r="D67" t="s">
        <v>593</v>
      </c>
      <c r="E67" s="5">
        <v>46029</v>
      </c>
      <c r="F67" t="s">
        <v>540</v>
      </c>
      <c r="G67" t="s">
        <v>537</v>
      </c>
      <c r="H67" s="5">
        <v>46028</v>
      </c>
      <c r="I67" s="1"/>
    </row>
    <row r="68" spans="1:10">
      <c r="A68" s="1" t="s">
        <v>68</v>
      </c>
      <c r="B68" t="s">
        <v>571</v>
      </c>
      <c r="C68" s="4">
        <v>46028</v>
      </c>
      <c r="D68" t="s">
        <v>593</v>
      </c>
      <c r="E68" s="5">
        <v>46029</v>
      </c>
      <c r="F68" t="s">
        <v>542</v>
      </c>
      <c r="G68" t="s">
        <v>537</v>
      </c>
      <c r="H68" s="5">
        <v>46028</v>
      </c>
      <c r="I68" s="1"/>
    </row>
    <row r="69" spans="1:10">
      <c r="A69" s="1" t="s">
        <v>163</v>
      </c>
      <c r="B69" t="s">
        <v>569</v>
      </c>
      <c r="C69" s="4">
        <v>46028</v>
      </c>
      <c r="D69" t="s">
        <v>553</v>
      </c>
      <c r="E69" s="5">
        <v>46029</v>
      </c>
      <c r="F69" t="s">
        <v>540</v>
      </c>
      <c r="G69" t="s">
        <v>537</v>
      </c>
      <c r="H69" s="5">
        <v>46028</v>
      </c>
      <c r="I69" s="1"/>
    </row>
    <row r="70" spans="1:10">
      <c r="A70" s="1" t="s">
        <v>113</v>
      </c>
      <c r="B70" t="s">
        <v>594</v>
      </c>
      <c r="C70" s="4">
        <v>45923</v>
      </c>
      <c r="D70" t="s">
        <v>595</v>
      </c>
      <c r="E70" s="5">
        <v>45924</v>
      </c>
      <c r="F70" t="s">
        <v>540</v>
      </c>
      <c r="G70" t="s">
        <v>537</v>
      </c>
      <c r="H70" s="5">
        <v>45924</v>
      </c>
      <c r="I70" s="1"/>
    </row>
    <row r="72" spans="1:10">
      <c r="B72"/>
      <c r="D72"/>
      <c r="E72" s="5"/>
      <c r="F72"/>
      <c r="G72"/>
      <c r="H72" s="5"/>
      <c r="I72" s="1"/>
    </row>
    <row r="73" spans="1:10">
      <c r="B73"/>
      <c r="D73"/>
      <c r="E73" s="5"/>
      <c r="F73"/>
      <c r="G73"/>
      <c r="H73" s="5"/>
      <c r="I73" s="1"/>
    </row>
    <row r="74" spans="1:10">
      <c r="B74"/>
      <c r="D74"/>
      <c r="E74" s="5"/>
      <c r="F74"/>
      <c r="G74"/>
      <c r="H74" s="5"/>
      <c r="I74" s="1"/>
    </row>
    <row r="75" spans="1:10">
      <c r="A75" s="1" t="s">
        <v>24</v>
      </c>
      <c r="B75"/>
      <c r="C75" s="4">
        <v>45836</v>
      </c>
      <c r="D75" t="s">
        <v>584</v>
      </c>
      <c r="E75" s="5">
        <v>45837</v>
      </c>
      <c r="F75" t="s">
        <v>540</v>
      </c>
      <c r="G75" t="s">
        <v>537</v>
      </c>
      <c r="H75" s="5">
        <v>45836</v>
      </c>
      <c r="I75" s="1"/>
      <c r="J75" s="1" t="s">
        <v>537</v>
      </c>
    </row>
    <row r="76" spans="1:10">
      <c r="A76" s="1" t="s">
        <v>54</v>
      </c>
      <c r="B76" t="s">
        <v>596</v>
      </c>
      <c r="C76" s="4">
        <v>45862</v>
      </c>
      <c r="D76" t="s">
        <v>597</v>
      </c>
      <c r="E76" s="5">
        <v>45863</v>
      </c>
      <c r="F76" t="s">
        <v>542</v>
      </c>
      <c r="G76" t="s">
        <v>537</v>
      </c>
      <c r="H76" s="5">
        <v>45862</v>
      </c>
      <c r="I76" s="1" t="s">
        <v>598</v>
      </c>
      <c r="J76" s="1" t="s">
        <v>542</v>
      </c>
    </row>
    <row r="77" spans="1:10">
      <c r="A77" s="1" t="s">
        <v>92</v>
      </c>
      <c r="B77"/>
      <c r="C77" s="4">
        <v>46004</v>
      </c>
      <c r="D77"/>
      <c r="E77" s="5"/>
      <c r="F77" t="s">
        <v>599</v>
      </c>
      <c r="G77"/>
      <c r="H77" s="5"/>
      <c r="I77" s="1" t="s">
        <v>600</v>
      </c>
      <c r="J77"/>
    </row>
    <row r="78" spans="1:10">
      <c r="A78" s="1" t="s">
        <v>30</v>
      </c>
      <c r="C78" s="4">
        <v>46004</v>
      </c>
      <c r="F78" s="1" t="s">
        <v>601</v>
      </c>
      <c r="I78" s="2" t="s">
        <v>602</v>
      </c>
    </row>
    <row r="79" spans="1:10">
      <c r="A79" s="1" t="s">
        <v>35</v>
      </c>
      <c r="C79" s="4">
        <v>46004</v>
      </c>
      <c r="F79" s="1" t="s">
        <v>603</v>
      </c>
      <c r="I79" s="2" t="s">
        <v>604</v>
      </c>
    </row>
    <row r="80" spans="1:10">
      <c r="A80" s="1" t="s">
        <v>60</v>
      </c>
      <c r="C80" s="4">
        <v>46004</v>
      </c>
      <c r="F80" s="1" t="s">
        <v>605</v>
      </c>
      <c r="I80" s="2" t="s">
        <v>416</v>
      </c>
    </row>
    <row r="81" spans="1:9">
      <c r="A81" s="1" t="s">
        <v>108</v>
      </c>
      <c r="C81" s="4">
        <v>46013</v>
      </c>
      <c r="F81" s="1" t="s">
        <v>603</v>
      </c>
      <c r="I81" s="2" t="s">
        <v>606</v>
      </c>
    </row>
    <row r="82" spans="1:9">
      <c r="A82" s="1" t="s">
        <v>35</v>
      </c>
      <c r="C82" s="4">
        <v>46013</v>
      </c>
      <c r="F82" s="1" t="s">
        <v>607</v>
      </c>
      <c r="I82" s="2" t="s">
        <v>608</v>
      </c>
    </row>
    <row r="83" spans="1:9">
      <c r="A83" s="1" t="s">
        <v>543</v>
      </c>
      <c r="C83" s="4">
        <v>46031</v>
      </c>
      <c r="D83" s="1" t="s">
        <v>564</v>
      </c>
      <c r="F83" s="1" t="s">
        <v>540</v>
      </c>
      <c r="I83" s="2" t="s">
        <v>609</v>
      </c>
    </row>
    <row r="84" spans="1:9">
      <c r="A84" s="1" t="s">
        <v>543</v>
      </c>
      <c r="C84" s="4">
        <v>46031</v>
      </c>
      <c r="D84" s="1" t="s">
        <v>564</v>
      </c>
      <c r="E84" s="4">
        <v>46031</v>
      </c>
      <c r="F84" s="1" t="s">
        <v>540</v>
      </c>
      <c r="I84" s="2" t="s">
        <v>609</v>
      </c>
    </row>
    <row r="85" spans="1:9">
      <c r="A85" s="1" t="s">
        <v>54</v>
      </c>
      <c r="C85" s="4">
        <v>46030</v>
      </c>
      <c r="D85" s="1" t="s">
        <v>595</v>
      </c>
      <c r="E85" s="4">
        <v>46030</v>
      </c>
      <c r="F85" s="1" t="s">
        <v>540</v>
      </c>
      <c r="I85" s="2" t="s">
        <v>610</v>
      </c>
    </row>
    <row r="86" spans="1:9">
      <c r="A86" s="1" t="s">
        <v>89</v>
      </c>
      <c r="C86" s="4">
        <v>46034</v>
      </c>
      <c r="D86" s="1" t="s">
        <v>611</v>
      </c>
      <c r="E86" s="4">
        <v>46034</v>
      </c>
      <c r="F86" s="1" t="s">
        <v>612</v>
      </c>
      <c r="I86" s="2" t="s">
        <v>613</v>
      </c>
    </row>
    <row r="87" spans="1:9">
      <c r="A87" s="1" t="s">
        <v>218</v>
      </c>
      <c r="C87" s="4">
        <v>46034</v>
      </c>
      <c r="D87" s="1" t="s">
        <v>561</v>
      </c>
      <c r="E87" s="4">
        <v>46034</v>
      </c>
      <c r="F87" s="1" t="s">
        <v>612</v>
      </c>
      <c r="I87" s="2" t="s">
        <v>614</v>
      </c>
    </row>
    <row r="88" spans="1:9">
      <c r="A88" s="1" t="s">
        <v>161</v>
      </c>
      <c r="C88" s="4">
        <v>46034</v>
      </c>
      <c r="D88" s="1" t="s">
        <v>547</v>
      </c>
      <c r="E88" s="4">
        <v>46034</v>
      </c>
      <c r="F88" s="1" t="s">
        <v>612</v>
      </c>
      <c r="I88" s="2" t="s">
        <v>615</v>
      </c>
    </row>
    <row r="89" spans="1:9">
      <c r="A89" s="1" t="s">
        <v>84</v>
      </c>
      <c r="C89" s="4">
        <v>46035</v>
      </c>
      <c r="D89" s="1" t="s">
        <v>616</v>
      </c>
      <c r="E89" s="4">
        <v>46035</v>
      </c>
      <c r="F89" s="1" t="s">
        <v>617</v>
      </c>
      <c r="I89" s="2" t="s">
        <v>618</v>
      </c>
    </row>
    <row r="90" spans="1:9">
      <c r="A90" s="1" t="s">
        <v>151</v>
      </c>
      <c r="C90" s="4">
        <v>46035</v>
      </c>
      <c r="D90" s="1" t="s">
        <v>619</v>
      </c>
      <c r="E90" s="4">
        <v>46035</v>
      </c>
      <c r="F90" s="1" t="s">
        <v>617</v>
      </c>
      <c r="I90" s="2" t="s">
        <v>620</v>
      </c>
    </row>
    <row r="91" spans="1:9">
      <c r="A91" s="1" t="s">
        <v>172</v>
      </c>
      <c r="C91" s="4">
        <v>46037</v>
      </c>
      <c r="D91" s="1" t="s">
        <v>562</v>
      </c>
      <c r="E91" s="4">
        <v>46037</v>
      </c>
      <c r="F91" s="1" t="s">
        <v>540</v>
      </c>
      <c r="I91" s="2" t="s">
        <v>621</v>
      </c>
    </row>
    <row r="92" spans="1:9">
      <c r="A92" s="1" t="s">
        <v>24</v>
      </c>
      <c r="C92" s="4">
        <v>46041</v>
      </c>
      <c r="D92" s="1" t="s">
        <v>578</v>
      </c>
      <c r="E92" s="4">
        <v>46041</v>
      </c>
      <c r="F92" s="1" t="s">
        <v>540</v>
      </c>
      <c r="I92" s="2" t="s">
        <v>622</v>
      </c>
    </row>
    <row r="93" spans="1:9">
      <c r="A93" s="1" t="s">
        <v>24</v>
      </c>
      <c r="C93" s="4">
        <v>46041</v>
      </c>
      <c r="D93" s="1" t="s">
        <v>578</v>
      </c>
      <c r="E93" s="4">
        <v>46041</v>
      </c>
      <c r="F93" s="1" t="s">
        <v>540</v>
      </c>
      <c r="I93" s="2" t="s">
        <v>622</v>
      </c>
    </row>
    <row r="94" spans="1:9">
      <c r="A94" s="1" t="s">
        <v>24</v>
      </c>
      <c r="C94" s="4">
        <v>46041</v>
      </c>
      <c r="D94" s="1" t="s">
        <v>578</v>
      </c>
      <c r="E94" s="4">
        <v>46041</v>
      </c>
      <c r="F94" s="1" t="s">
        <v>540</v>
      </c>
      <c r="I94" s="2" t="s">
        <v>622</v>
      </c>
    </row>
    <row r="95" spans="1:9">
      <c r="A95" s="1" t="s">
        <v>24</v>
      </c>
      <c r="C95" s="4">
        <v>46041</v>
      </c>
      <c r="D95" s="1" t="s">
        <v>578</v>
      </c>
      <c r="E95" s="4">
        <v>46041</v>
      </c>
      <c r="F95" s="1" t="s">
        <v>540</v>
      </c>
      <c r="I95" s="2" t="s">
        <v>622</v>
      </c>
    </row>
    <row r="96" spans="1:9">
      <c r="A96" s="1" t="s">
        <v>161</v>
      </c>
      <c r="C96" s="4">
        <v>46046</v>
      </c>
      <c r="D96" s="1" t="s">
        <v>583</v>
      </c>
      <c r="E96" s="4">
        <v>46046</v>
      </c>
      <c r="F96" s="1" t="s">
        <v>542</v>
      </c>
      <c r="I96" s="2" t="s">
        <v>371</v>
      </c>
    </row>
    <row r="97" spans="1:9">
      <c r="A97" s="1" t="s">
        <v>73</v>
      </c>
      <c r="C97" s="4">
        <v>46049</v>
      </c>
      <c r="D97" s="1" t="s">
        <v>623</v>
      </c>
      <c r="E97" s="4">
        <v>46049</v>
      </c>
      <c r="F97" s="1" t="s">
        <v>542</v>
      </c>
      <c r="I97" s="2" t="s">
        <v>624</v>
      </c>
    </row>
    <row r="98" spans="1:9">
      <c r="A98" s="1" t="s">
        <v>218</v>
      </c>
      <c r="C98" s="4">
        <v>46061</v>
      </c>
      <c r="D98" s="1" t="s">
        <v>565</v>
      </c>
      <c r="E98" s="4">
        <v>46061</v>
      </c>
      <c r="F98" s="1" t="s">
        <v>540</v>
      </c>
      <c r="I98" s="2" t="s">
        <v>519</v>
      </c>
    </row>
    <row r="99" spans="1:9">
      <c r="A99" s="1" t="s">
        <v>218</v>
      </c>
      <c r="C99" s="4">
        <v>46061</v>
      </c>
      <c r="D99" s="1" t="s">
        <v>565</v>
      </c>
      <c r="E99" s="4">
        <v>46061</v>
      </c>
      <c r="F99" s="1" t="s">
        <v>542</v>
      </c>
      <c r="I99" s="2" t="s">
        <v>519</v>
      </c>
    </row>
    <row r="100" spans="1:9">
      <c r="A100" s="1" t="s">
        <v>89</v>
      </c>
      <c r="C100" s="4">
        <v>46061</v>
      </c>
      <c r="D100" s="1" t="s">
        <v>549</v>
      </c>
      <c r="E100" s="4">
        <v>46061</v>
      </c>
      <c r="F100" s="1" t="s">
        <v>540</v>
      </c>
      <c r="I100" s="2" t="s">
        <v>625</v>
      </c>
    </row>
    <row r="101" spans="1:9">
      <c r="A101" s="1" t="s">
        <v>180</v>
      </c>
      <c r="C101" s="4">
        <v>46066</v>
      </c>
      <c r="D101" s="1" t="s">
        <v>1129</v>
      </c>
      <c r="E101" s="4">
        <v>46066</v>
      </c>
      <c r="F101" s="1" t="s">
        <v>1127</v>
      </c>
      <c r="I101" s="2" t="s">
        <v>1128</v>
      </c>
    </row>
    <row r="102" spans="1:9">
      <c r="A102" s="1" t="s">
        <v>180</v>
      </c>
      <c r="C102" s="4">
        <v>46066</v>
      </c>
      <c r="D102" s="1" t="s">
        <v>1129</v>
      </c>
      <c r="E102" s="4">
        <v>46066</v>
      </c>
      <c r="F102" s="1" t="s">
        <v>1127</v>
      </c>
      <c r="I102" s="2" t="s">
        <v>1128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3F80B-F603-4BAF-B10D-B4588799F22C}">
  <sheetPr codeName="Sheet3"/>
  <dimension ref="A1:D222"/>
  <sheetViews>
    <sheetView topLeftCell="A101" workbookViewId="0">
      <selection activeCell="B134" sqref="B134"/>
    </sheetView>
  </sheetViews>
  <sheetFormatPr defaultRowHeight="15" customHeight="1" outlineLevelRow="1"/>
  <cols>
    <col min="1" max="1" width="48.28515625" bestFit="1" customWidth="1"/>
    <col min="2" max="2" width="25.7109375" bestFit="1" customWidth="1"/>
    <col min="3" max="3" width="28.28515625" bestFit="1" customWidth="1"/>
  </cols>
  <sheetData>
    <row r="1" spans="1:3" ht="27" customHeight="1">
      <c r="A1" s="243" t="s">
        <v>626</v>
      </c>
      <c r="B1" s="243"/>
      <c r="C1" s="243"/>
    </row>
    <row r="2" spans="1:3" ht="15" customHeight="1" thickBot="1">
      <c r="A2" s="75" t="s">
        <v>627</v>
      </c>
      <c r="B2" s="76" t="s">
        <v>628</v>
      </c>
      <c r="C2" s="77" t="s">
        <v>629</v>
      </c>
    </row>
    <row r="3" spans="1:3" ht="15" customHeight="1" thickBot="1">
      <c r="A3" s="237" t="s">
        <v>630</v>
      </c>
      <c r="B3" s="238"/>
      <c r="C3" s="239"/>
    </row>
    <row r="4" spans="1:3" ht="15" customHeight="1" outlineLevel="1">
      <c r="A4" s="36">
        <v>2197</v>
      </c>
      <c r="B4" s="13" t="s">
        <v>631</v>
      </c>
      <c r="C4" s="74" t="s">
        <v>632</v>
      </c>
    </row>
    <row r="5" spans="1:3" ht="15" customHeight="1" outlineLevel="1">
      <c r="A5" s="36">
        <v>2389</v>
      </c>
      <c r="B5" s="13" t="s">
        <v>633</v>
      </c>
      <c r="C5" s="70"/>
    </row>
    <row r="6" spans="1:3" ht="15" customHeight="1" outlineLevel="1">
      <c r="A6" s="36" t="s">
        <v>634</v>
      </c>
      <c r="B6" s="13" t="s">
        <v>635</v>
      </c>
      <c r="C6" s="70" t="s">
        <v>632</v>
      </c>
    </row>
    <row r="7" spans="1:3" ht="15" customHeight="1" outlineLevel="1">
      <c r="A7" s="36" t="s">
        <v>636</v>
      </c>
      <c r="B7" s="13" t="s">
        <v>637</v>
      </c>
      <c r="C7" s="70"/>
    </row>
    <row r="8" spans="1:3" ht="15" customHeight="1" outlineLevel="1">
      <c r="A8" s="36" t="s">
        <v>638</v>
      </c>
      <c r="B8" s="13" t="s">
        <v>639</v>
      </c>
      <c r="C8" s="70" t="s">
        <v>632</v>
      </c>
    </row>
    <row r="9" spans="1:3" ht="15" customHeight="1" outlineLevel="1">
      <c r="A9" s="36" t="s">
        <v>640</v>
      </c>
      <c r="B9" s="13" t="s">
        <v>641</v>
      </c>
      <c r="C9" s="70" t="s">
        <v>632</v>
      </c>
    </row>
    <row r="10" spans="1:3" ht="15" customHeight="1" outlineLevel="1">
      <c r="A10" s="36" t="s">
        <v>642</v>
      </c>
      <c r="B10" s="13" t="s">
        <v>643</v>
      </c>
      <c r="C10" s="70"/>
    </row>
    <row r="11" spans="1:3" ht="15" customHeight="1" outlineLevel="1">
      <c r="A11" s="36" t="s">
        <v>644</v>
      </c>
      <c r="B11" s="13" t="s">
        <v>645</v>
      </c>
      <c r="C11" s="70"/>
    </row>
    <row r="12" spans="1:3" ht="15" customHeight="1" outlineLevel="1">
      <c r="A12" s="48" t="s">
        <v>646</v>
      </c>
      <c r="B12" s="25" t="s">
        <v>647</v>
      </c>
      <c r="C12" s="26" t="s">
        <v>648</v>
      </c>
    </row>
    <row r="13" spans="1:3" ht="15" customHeight="1" outlineLevel="1">
      <c r="A13" s="36" t="s">
        <v>649</v>
      </c>
      <c r="B13" s="13" t="s">
        <v>650</v>
      </c>
      <c r="C13" s="70"/>
    </row>
    <row r="14" spans="1:3" ht="15" customHeight="1" outlineLevel="1">
      <c r="A14" s="36" t="s">
        <v>651</v>
      </c>
      <c r="B14" s="13" t="s">
        <v>652</v>
      </c>
      <c r="C14" s="70"/>
    </row>
    <row r="15" spans="1:3" ht="15" customHeight="1" outlineLevel="1">
      <c r="A15" s="36" t="s">
        <v>653</v>
      </c>
      <c r="B15" s="13" t="s">
        <v>654</v>
      </c>
      <c r="C15" s="70"/>
    </row>
    <row r="16" spans="1:3" ht="15" customHeight="1" outlineLevel="1">
      <c r="A16" s="78" t="s">
        <v>655</v>
      </c>
      <c r="B16" s="69" t="s">
        <v>656</v>
      </c>
      <c r="C16" s="70"/>
    </row>
    <row r="17" spans="1:4" ht="15" customHeight="1" outlineLevel="1">
      <c r="A17" s="36" t="s">
        <v>657</v>
      </c>
      <c r="B17" s="13" t="s">
        <v>658</v>
      </c>
      <c r="C17" s="70" t="s">
        <v>659</v>
      </c>
    </row>
    <row r="18" spans="1:4" ht="15" customHeight="1" outlineLevel="1">
      <c r="A18" s="36" t="s">
        <v>660</v>
      </c>
      <c r="B18" s="13" t="s">
        <v>661</v>
      </c>
      <c r="C18" s="70" t="s">
        <v>662</v>
      </c>
    </row>
    <row r="19" spans="1:4" ht="15" customHeight="1" outlineLevel="1">
      <c r="A19" s="36" t="s">
        <v>663</v>
      </c>
      <c r="B19" s="13" t="s">
        <v>664</v>
      </c>
      <c r="C19" s="70" t="s">
        <v>632</v>
      </c>
    </row>
    <row r="20" spans="1:4" ht="15" customHeight="1" outlineLevel="1">
      <c r="A20" s="36" t="s">
        <v>665</v>
      </c>
      <c r="B20" s="13" t="s">
        <v>666</v>
      </c>
      <c r="C20" s="70"/>
    </row>
    <row r="21" spans="1:4" ht="15" customHeight="1" outlineLevel="1">
      <c r="A21" s="36" t="s">
        <v>667</v>
      </c>
      <c r="B21" s="13" t="s">
        <v>668</v>
      </c>
      <c r="C21" s="79" t="s">
        <v>669</v>
      </c>
    </row>
    <row r="22" spans="1:4" ht="15" customHeight="1" outlineLevel="1">
      <c r="A22" s="45" t="s">
        <v>670</v>
      </c>
      <c r="B22" s="23" t="s">
        <v>671</v>
      </c>
      <c r="C22" s="23" t="s">
        <v>672</v>
      </c>
    </row>
    <row r="23" spans="1:4" ht="15" customHeight="1" outlineLevel="1">
      <c r="A23" s="36" t="s">
        <v>673</v>
      </c>
      <c r="B23" s="13">
        <v>1301960021</v>
      </c>
      <c r="C23" s="70" t="s">
        <v>674</v>
      </c>
    </row>
    <row r="24" spans="1:4" ht="15" customHeight="1" outlineLevel="1">
      <c r="A24" s="66" t="s">
        <v>675</v>
      </c>
      <c r="B24" s="67" t="s">
        <v>676</v>
      </c>
      <c r="C24" s="70"/>
    </row>
    <row r="25" spans="1:4" outlineLevel="1">
      <c r="A25" s="36" t="s">
        <v>677</v>
      </c>
      <c r="B25" s="60" t="s">
        <v>678</v>
      </c>
      <c r="C25" s="70" t="s">
        <v>679</v>
      </c>
      <c r="D25" s="80"/>
    </row>
    <row r="26" spans="1:4" ht="15" customHeight="1" outlineLevel="1">
      <c r="A26" s="68" t="s">
        <v>680</v>
      </c>
      <c r="B26" s="69" t="s">
        <v>681</v>
      </c>
      <c r="C26" s="70"/>
    </row>
    <row r="27" spans="1:4" ht="15" customHeight="1" outlineLevel="1">
      <c r="A27" s="48" t="s">
        <v>682</v>
      </c>
      <c r="B27" s="25" t="s">
        <v>683</v>
      </c>
      <c r="C27" s="26"/>
    </row>
    <row r="28" spans="1:4" ht="15" customHeight="1" outlineLevel="1">
      <c r="A28" s="78" t="s">
        <v>684</v>
      </c>
      <c r="B28" s="69" t="s">
        <v>685</v>
      </c>
      <c r="C28" s="70" t="s">
        <v>686</v>
      </c>
    </row>
    <row r="29" spans="1:4" ht="15" customHeight="1" outlineLevel="1">
      <c r="A29" s="78" t="s">
        <v>687</v>
      </c>
      <c r="B29" s="69" t="s">
        <v>688</v>
      </c>
      <c r="C29" s="70" t="s">
        <v>689</v>
      </c>
    </row>
    <row r="30" spans="1:4" ht="15" customHeight="1" outlineLevel="1">
      <c r="A30" s="78" t="s">
        <v>690</v>
      </c>
      <c r="B30" s="69" t="s">
        <v>691</v>
      </c>
      <c r="C30" s="70"/>
    </row>
    <row r="31" spans="1:4" ht="15" customHeight="1" outlineLevel="1">
      <c r="A31" s="78" t="s">
        <v>692</v>
      </c>
      <c r="B31" s="69" t="s">
        <v>693</v>
      </c>
      <c r="C31" s="70" t="s">
        <v>694</v>
      </c>
    </row>
    <row r="32" spans="1:4" outlineLevel="1">
      <c r="A32" s="78" t="s">
        <v>695</v>
      </c>
      <c r="B32" s="69" t="s">
        <v>696</v>
      </c>
      <c r="C32" s="70"/>
    </row>
    <row r="33" spans="1:3" ht="15.75" outlineLevel="1" thickBot="1">
      <c r="A33" s="78" t="s">
        <v>697</v>
      </c>
      <c r="B33" s="69" t="s">
        <v>698</v>
      </c>
      <c r="C33" s="70"/>
    </row>
    <row r="34" spans="1:3" ht="15" customHeight="1" outlineLevel="1" thickBot="1">
      <c r="A34" s="250" t="s">
        <v>699</v>
      </c>
      <c r="B34" s="251"/>
      <c r="C34" s="252"/>
    </row>
    <row r="35" spans="1:3" ht="15" customHeight="1" outlineLevel="1">
      <c r="A35" s="78" t="s">
        <v>700</v>
      </c>
      <c r="B35" s="70" t="s">
        <v>701</v>
      </c>
      <c r="C35" s="92" t="s">
        <v>702</v>
      </c>
    </row>
    <row r="36" spans="1:3" ht="15" customHeight="1" outlineLevel="1">
      <c r="A36" s="78" t="s">
        <v>703</v>
      </c>
      <c r="B36" s="70" t="s">
        <v>704</v>
      </c>
      <c r="C36" s="92" t="s">
        <v>705</v>
      </c>
    </row>
    <row r="37" spans="1:3" ht="15" customHeight="1" outlineLevel="1">
      <c r="A37" s="78" t="s">
        <v>706</v>
      </c>
      <c r="B37" s="69" t="s">
        <v>707</v>
      </c>
      <c r="C37" s="83"/>
    </row>
    <row r="38" spans="1:3" ht="15" customHeight="1" outlineLevel="1">
      <c r="A38" s="78" t="s">
        <v>708</v>
      </c>
      <c r="B38" s="69" t="s">
        <v>709</v>
      </c>
      <c r="C38" s="70" t="s">
        <v>632</v>
      </c>
    </row>
    <row r="39" spans="1:3" ht="15" customHeight="1" outlineLevel="1">
      <c r="A39" s="78" t="s">
        <v>710</v>
      </c>
      <c r="B39" s="69" t="s">
        <v>711</v>
      </c>
      <c r="C39" s="70" t="s">
        <v>632</v>
      </c>
    </row>
    <row r="40" spans="1:3" ht="15" customHeight="1" outlineLevel="1">
      <c r="A40" s="78" t="s">
        <v>710</v>
      </c>
      <c r="B40" s="69" t="s">
        <v>712</v>
      </c>
      <c r="C40" s="70"/>
    </row>
    <row r="41" spans="1:3" outlineLevel="1">
      <c r="A41" s="78" t="s">
        <v>713</v>
      </c>
      <c r="B41" s="69" t="s">
        <v>714</v>
      </c>
      <c r="C41" s="70"/>
    </row>
    <row r="42" spans="1:3" ht="15" customHeight="1" outlineLevel="1">
      <c r="A42" s="78" t="s">
        <v>715</v>
      </c>
      <c r="B42" s="69" t="s">
        <v>716</v>
      </c>
      <c r="C42" s="70"/>
    </row>
    <row r="43" spans="1:3" ht="15" customHeight="1" outlineLevel="1">
      <c r="A43" s="78" t="s">
        <v>717</v>
      </c>
      <c r="B43" s="69" t="s">
        <v>718</v>
      </c>
      <c r="C43" s="70"/>
    </row>
    <row r="44" spans="1:3" ht="15" customHeight="1" outlineLevel="1">
      <c r="A44" s="87" t="s">
        <v>719</v>
      </c>
      <c r="B44" s="129" t="s">
        <v>711</v>
      </c>
      <c r="C44" s="130" t="s">
        <v>720</v>
      </c>
    </row>
    <row r="45" spans="1:3" ht="15" customHeight="1" outlineLevel="1">
      <c r="A45" s="44" t="s">
        <v>721</v>
      </c>
      <c r="B45" s="19" t="s">
        <v>722</v>
      </c>
      <c r="C45" s="128"/>
    </row>
    <row r="46" spans="1:3" ht="15" customHeight="1" outlineLevel="1">
      <c r="A46" s="44" t="s">
        <v>723</v>
      </c>
      <c r="B46" s="19" t="s">
        <v>724</v>
      </c>
      <c r="C46" s="22"/>
    </row>
    <row r="47" spans="1:3" ht="15" customHeight="1" outlineLevel="1" thickBot="1">
      <c r="A47" s="259" t="s">
        <v>725</v>
      </c>
      <c r="B47" s="260"/>
      <c r="C47" s="261"/>
    </row>
    <row r="48" spans="1:3" ht="15" customHeight="1" outlineLevel="1">
      <c r="A48" s="99" t="s">
        <v>726</v>
      </c>
      <c r="B48" s="100" t="s">
        <v>727</v>
      </c>
      <c r="C48" s="74"/>
    </row>
    <row r="49" spans="1:3" ht="15" customHeight="1" outlineLevel="1">
      <c r="A49" s="78" t="s">
        <v>728</v>
      </c>
      <c r="B49" s="69" t="s">
        <v>729</v>
      </c>
      <c r="C49" s="70"/>
    </row>
    <row r="50" spans="1:3" ht="15" customHeight="1" outlineLevel="1">
      <c r="A50" s="78" t="s">
        <v>730</v>
      </c>
      <c r="B50" s="69" t="s">
        <v>731</v>
      </c>
      <c r="C50" s="70"/>
    </row>
    <row r="51" spans="1:3" ht="15" customHeight="1" outlineLevel="1">
      <c r="A51" s="101" t="s">
        <v>732</v>
      </c>
      <c r="B51" s="69" t="s">
        <v>733</v>
      </c>
      <c r="C51" s="70"/>
    </row>
    <row r="52" spans="1:3" ht="15" customHeight="1" outlineLevel="1">
      <c r="A52" s="101" t="s">
        <v>734</v>
      </c>
      <c r="B52" s="69" t="s">
        <v>735</v>
      </c>
      <c r="C52" s="70"/>
    </row>
    <row r="53" spans="1:3" ht="15" customHeight="1" outlineLevel="1" thickBot="1">
      <c r="A53" s="87" t="s">
        <v>736</v>
      </c>
      <c r="B53" s="91" t="s">
        <v>737</v>
      </c>
      <c r="C53" s="88" t="s">
        <v>632</v>
      </c>
    </row>
    <row r="54" spans="1:3" ht="15" customHeight="1" outlineLevel="1" thickBot="1">
      <c r="A54" s="250" t="s">
        <v>738</v>
      </c>
      <c r="B54" s="251"/>
      <c r="C54" s="252"/>
    </row>
    <row r="55" spans="1:3" ht="15" customHeight="1" outlineLevel="1">
      <c r="A55" s="36" t="s">
        <v>739</v>
      </c>
      <c r="B55" s="71" t="s">
        <v>740</v>
      </c>
      <c r="C55" s="74" t="s">
        <v>632</v>
      </c>
    </row>
    <row r="56" spans="1:3" ht="15" customHeight="1" outlineLevel="1">
      <c r="A56" s="36" t="s">
        <v>741</v>
      </c>
      <c r="B56" s="71" t="s">
        <v>742</v>
      </c>
      <c r="C56" s="70" t="s">
        <v>632</v>
      </c>
    </row>
    <row r="57" spans="1:3" ht="15" customHeight="1" outlineLevel="1">
      <c r="A57" s="36" t="s">
        <v>743</v>
      </c>
      <c r="B57" s="71" t="s">
        <v>744</v>
      </c>
      <c r="C57" s="70" t="s">
        <v>632</v>
      </c>
    </row>
    <row r="58" spans="1:3" ht="15" customHeight="1" outlineLevel="1">
      <c r="A58" s="36" t="s">
        <v>745</v>
      </c>
      <c r="B58" s="71" t="s">
        <v>746</v>
      </c>
      <c r="C58" s="88" t="s">
        <v>632</v>
      </c>
    </row>
    <row r="59" spans="1:3" ht="15" customHeight="1" outlineLevel="1">
      <c r="A59" s="44" t="s">
        <v>747</v>
      </c>
      <c r="B59" s="72" t="s">
        <v>748</v>
      </c>
      <c r="C59" s="104"/>
    </row>
    <row r="60" spans="1:3" ht="15" customHeight="1" outlineLevel="1">
      <c r="A60" s="36">
        <v>491</v>
      </c>
      <c r="B60" s="71" t="s">
        <v>749</v>
      </c>
      <c r="C60" s="70" t="s">
        <v>632</v>
      </c>
    </row>
    <row r="61" spans="1:3" ht="15" customHeight="1" outlineLevel="1">
      <c r="A61" s="43">
        <v>492</v>
      </c>
      <c r="B61" s="86" t="s">
        <v>750</v>
      </c>
      <c r="C61" s="70" t="s">
        <v>632</v>
      </c>
    </row>
    <row r="62" spans="1:3" ht="15" customHeight="1" outlineLevel="1" thickBot="1">
      <c r="A62" s="44">
        <v>493</v>
      </c>
      <c r="B62" s="72" t="s">
        <v>751</v>
      </c>
      <c r="C62" s="70" t="s">
        <v>632</v>
      </c>
    </row>
    <row r="63" spans="1:3" ht="17.25" customHeight="1" outlineLevel="1" thickBot="1">
      <c r="A63" s="250" t="s">
        <v>752</v>
      </c>
      <c r="B63" s="251"/>
      <c r="C63" s="252"/>
    </row>
    <row r="64" spans="1:3" ht="17.25" customHeight="1" outlineLevel="1">
      <c r="A64" s="102" t="s">
        <v>753</v>
      </c>
      <c r="B64" s="13" t="s">
        <v>754</v>
      </c>
      <c r="C64" s="14" t="s">
        <v>755</v>
      </c>
    </row>
    <row r="65" spans="1:3" ht="17.25" customHeight="1" outlineLevel="1">
      <c r="A65" s="102" t="s">
        <v>756</v>
      </c>
      <c r="B65" s="13" t="s">
        <v>757</v>
      </c>
      <c r="C65" s="14" t="s">
        <v>632</v>
      </c>
    </row>
    <row r="66" spans="1:3" ht="17.25" customHeight="1" outlineLevel="1">
      <c r="A66" s="103" t="s">
        <v>758</v>
      </c>
      <c r="B66" s="13" t="s">
        <v>759</v>
      </c>
      <c r="C66" s="14" t="s">
        <v>632</v>
      </c>
    </row>
    <row r="67" spans="1:3" ht="17.25" customHeight="1" outlineLevel="1">
      <c r="A67" s="103" t="s">
        <v>760</v>
      </c>
      <c r="B67" s="13" t="s">
        <v>761</v>
      </c>
      <c r="C67" s="14" t="s">
        <v>632</v>
      </c>
    </row>
    <row r="68" spans="1:3" ht="15" customHeight="1" outlineLevel="1" thickBot="1">
      <c r="A68" s="102" t="s">
        <v>762</v>
      </c>
      <c r="B68" s="13" t="s">
        <v>763</v>
      </c>
      <c r="C68" s="14" t="s">
        <v>632</v>
      </c>
    </row>
    <row r="69" spans="1:3" ht="15" customHeight="1" outlineLevel="1" thickBot="1">
      <c r="A69" s="250" t="s">
        <v>764</v>
      </c>
      <c r="B69" s="251"/>
      <c r="C69" s="252"/>
    </row>
    <row r="70" spans="1:3" ht="15" customHeight="1" outlineLevel="1">
      <c r="A70" s="49" t="s">
        <v>765</v>
      </c>
      <c r="B70" s="27" t="s">
        <v>766</v>
      </c>
      <c r="C70" s="28"/>
    </row>
    <row r="71" spans="1:3" ht="15" customHeight="1" outlineLevel="1">
      <c r="A71" s="49" t="s">
        <v>767</v>
      </c>
      <c r="B71" s="27" t="s">
        <v>768</v>
      </c>
      <c r="C71" s="28"/>
    </row>
    <row r="72" spans="1:3" ht="15" customHeight="1" outlineLevel="1">
      <c r="A72" s="108" t="s">
        <v>769</v>
      </c>
      <c r="B72" s="109" t="s">
        <v>770</v>
      </c>
      <c r="C72" s="94" t="s">
        <v>771</v>
      </c>
    </row>
    <row r="73" spans="1:3" ht="15" customHeight="1" thickBot="1">
      <c r="A73" s="89"/>
      <c r="B73" s="86"/>
      <c r="C73" s="90"/>
    </row>
    <row r="74" spans="1:3" ht="15" customHeight="1" thickBot="1">
      <c r="A74" s="240" t="s">
        <v>772</v>
      </c>
      <c r="B74" s="241"/>
      <c r="C74" s="242"/>
    </row>
    <row r="75" spans="1:3" ht="15" customHeight="1" outlineLevel="1">
      <c r="A75" s="36" t="s">
        <v>773</v>
      </c>
      <c r="B75" s="71" t="s">
        <v>774</v>
      </c>
      <c r="C75" s="74" t="s">
        <v>632</v>
      </c>
    </row>
    <row r="76" spans="1:3" ht="15" customHeight="1" outlineLevel="1">
      <c r="A76" s="101" t="s">
        <v>775</v>
      </c>
      <c r="B76" s="70" t="s">
        <v>776</v>
      </c>
      <c r="C76" s="70" t="s">
        <v>632</v>
      </c>
    </row>
    <row r="77" spans="1:3" ht="15" customHeight="1" outlineLevel="1">
      <c r="A77" s="101" t="s">
        <v>777</v>
      </c>
      <c r="B77" s="70" t="s">
        <v>778</v>
      </c>
      <c r="C77" s="70" t="s">
        <v>632</v>
      </c>
    </row>
    <row r="78" spans="1:3" ht="15" customHeight="1" outlineLevel="1">
      <c r="A78" s="101" t="s">
        <v>779</v>
      </c>
      <c r="B78" s="70" t="s">
        <v>780</v>
      </c>
      <c r="C78" s="70"/>
    </row>
    <row r="79" spans="1:3" ht="15" customHeight="1" outlineLevel="1">
      <c r="A79" s="101" t="s">
        <v>781</v>
      </c>
      <c r="B79" s="70" t="s">
        <v>782</v>
      </c>
      <c r="C79" s="70"/>
    </row>
    <row r="80" spans="1:3" ht="15" customHeight="1" outlineLevel="1">
      <c r="A80" s="101" t="s">
        <v>783</v>
      </c>
      <c r="B80" s="70" t="s">
        <v>784</v>
      </c>
      <c r="C80" s="70"/>
    </row>
    <row r="81" spans="1:3" ht="15" customHeight="1" outlineLevel="1">
      <c r="A81" s="101" t="s">
        <v>785</v>
      </c>
      <c r="B81" s="70" t="s">
        <v>786</v>
      </c>
      <c r="C81" s="70"/>
    </row>
    <row r="82" spans="1:3" ht="15" customHeight="1" outlineLevel="1">
      <c r="A82" s="101" t="s">
        <v>787</v>
      </c>
      <c r="B82" s="70" t="s">
        <v>788</v>
      </c>
      <c r="C82" s="70"/>
    </row>
    <row r="83" spans="1:3" ht="15" customHeight="1" outlineLevel="1">
      <c r="A83" s="101" t="s">
        <v>789</v>
      </c>
      <c r="B83" s="70" t="s">
        <v>790</v>
      </c>
      <c r="C83" s="70"/>
    </row>
    <row r="84" spans="1:3" ht="15" customHeight="1" outlineLevel="1">
      <c r="A84" s="101" t="s">
        <v>791</v>
      </c>
      <c r="B84" s="70" t="s">
        <v>792</v>
      </c>
      <c r="C84" s="70">
        <v>6143</v>
      </c>
    </row>
    <row r="85" spans="1:3" ht="15" customHeight="1" outlineLevel="1">
      <c r="A85" s="101" t="s">
        <v>793</v>
      </c>
      <c r="B85" s="70">
        <v>878052</v>
      </c>
      <c r="C85" s="70"/>
    </row>
    <row r="86" spans="1:3" ht="15" customHeight="1" outlineLevel="1">
      <c r="A86" s="101" t="s">
        <v>794</v>
      </c>
      <c r="B86" s="70" t="s">
        <v>795</v>
      </c>
      <c r="C86" s="70" t="s">
        <v>632</v>
      </c>
    </row>
    <row r="87" spans="1:3" ht="15" customHeight="1" outlineLevel="1">
      <c r="A87" s="101" t="s">
        <v>796</v>
      </c>
      <c r="B87" s="70" t="s">
        <v>797</v>
      </c>
      <c r="C87" s="70" t="s">
        <v>798</v>
      </c>
    </row>
    <row r="88" spans="1:3" ht="15" customHeight="1" outlineLevel="1">
      <c r="A88" s="101" t="s">
        <v>799</v>
      </c>
      <c r="B88" s="70" t="s">
        <v>800</v>
      </c>
      <c r="C88" s="70"/>
    </row>
    <row r="89" spans="1:3" ht="15" customHeight="1" outlineLevel="1">
      <c r="A89" s="101" t="s">
        <v>801</v>
      </c>
      <c r="B89" s="70">
        <v>4913211082</v>
      </c>
      <c r="C89" s="70"/>
    </row>
    <row r="90" spans="1:3" ht="15" customHeight="1" outlineLevel="1">
      <c r="A90" s="101" t="s">
        <v>802</v>
      </c>
      <c r="B90" s="70" t="s">
        <v>803</v>
      </c>
      <c r="C90" s="26"/>
    </row>
    <row r="91" spans="1:3" ht="15" customHeight="1" outlineLevel="1">
      <c r="A91" s="101" t="s">
        <v>804</v>
      </c>
      <c r="B91" s="70" t="s">
        <v>805</v>
      </c>
      <c r="C91" s="26"/>
    </row>
    <row r="92" spans="1:3" ht="15" customHeight="1" outlineLevel="1">
      <c r="A92" s="101" t="s">
        <v>806</v>
      </c>
      <c r="B92" s="70" t="s">
        <v>807</v>
      </c>
      <c r="C92" s="70"/>
    </row>
    <row r="93" spans="1:3" ht="15" customHeight="1" outlineLevel="1">
      <c r="A93" s="101" t="s">
        <v>808</v>
      </c>
      <c r="B93" s="70" t="s">
        <v>809</v>
      </c>
      <c r="C93" s="70" t="s">
        <v>810</v>
      </c>
    </row>
    <row r="94" spans="1:3" ht="15" customHeight="1" outlineLevel="1">
      <c r="A94" s="101" t="s">
        <v>811</v>
      </c>
      <c r="B94" s="70" t="s">
        <v>812</v>
      </c>
      <c r="C94" s="70"/>
    </row>
    <row r="95" spans="1:3" ht="15" customHeight="1" outlineLevel="1">
      <c r="A95" s="45" t="s">
        <v>813</v>
      </c>
      <c r="B95" s="23" t="s">
        <v>814</v>
      </c>
      <c r="C95" s="16" t="s">
        <v>815</v>
      </c>
    </row>
    <row r="96" spans="1:3" ht="15" customHeight="1" outlineLevel="1">
      <c r="A96" s="110" t="s">
        <v>816</v>
      </c>
      <c r="B96" s="88" t="s">
        <v>817</v>
      </c>
      <c r="C96" s="88"/>
    </row>
    <row r="97" spans="1:3" ht="15" customHeight="1" outlineLevel="1">
      <c r="A97" s="110" t="s">
        <v>818</v>
      </c>
      <c r="B97" s="88"/>
      <c r="C97" s="113" t="str">
        <f>HYPERLINK("https://hkexpress.comply365.net/DCM/MyDocuments/ViewPublication/9d9a9641-f334-ef11-8076-dc98402a19cb","CMM")</f>
        <v>CMM</v>
      </c>
    </row>
    <row r="98" spans="1:3" ht="16.5" customHeight="1" outlineLevel="1">
      <c r="A98" s="111" t="s">
        <v>819</v>
      </c>
      <c r="B98" s="112" t="s">
        <v>820</v>
      </c>
      <c r="C98" s="112"/>
    </row>
    <row r="99" spans="1:3" ht="15" customHeight="1" outlineLevel="1">
      <c r="A99" s="111" t="s">
        <v>821</v>
      </c>
      <c r="B99" s="156" t="s">
        <v>822</v>
      </c>
      <c r="C99" s="112"/>
    </row>
    <row r="100" spans="1:3" ht="15" customHeight="1" outlineLevel="1">
      <c r="A100" s="111" t="s">
        <v>823</v>
      </c>
      <c r="B100" s="112"/>
      <c r="C100" s="170" t="s">
        <v>824</v>
      </c>
    </row>
    <row r="101" spans="1:3" ht="15" customHeight="1" outlineLevel="1">
      <c r="A101" s="171" t="s">
        <v>825</v>
      </c>
      <c r="B101" s="156" t="s">
        <v>826</v>
      </c>
      <c r="C101" s="171"/>
    </row>
    <row r="102" spans="1:3" ht="15" customHeight="1" outlineLevel="1">
      <c r="A102" s="171" t="s">
        <v>827</v>
      </c>
      <c r="B102" s="172" t="s">
        <v>828</v>
      </c>
      <c r="C102" s="171"/>
    </row>
    <row r="103" spans="1:3" ht="15" customHeight="1" outlineLevel="1" thickBot="1">
      <c r="A103" s="256" t="s">
        <v>829</v>
      </c>
      <c r="B103" s="257"/>
      <c r="C103" s="258"/>
    </row>
    <row r="104" spans="1:3" ht="15" customHeight="1" outlineLevel="1">
      <c r="A104" s="97" t="s">
        <v>830</v>
      </c>
      <c r="B104" s="98" t="s">
        <v>831</v>
      </c>
      <c r="C104" s="74"/>
    </row>
    <row r="105" spans="1:3" ht="15" customHeight="1" outlineLevel="1">
      <c r="A105" s="66" t="s">
        <v>675</v>
      </c>
      <c r="B105" s="67" t="s">
        <v>676</v>
      </c>
      <c r="C105" s="70"/>
    </row>
    <row r="106" spans="1:3" ht="15.75" customHeight="1" outlineLevel="1">
      <c r="A106" s="45" t="s">
        <v>832</v>
      </c>
      <c r="B106" s="118" t="s">
        <v>833</v>
      </c>
      <c r="C106" s="35" t="s">
        <v>834</v>
      </c>
    </row>
    <row r="107" spans="1:3" ht="15.75" customHeight="1" outlineLevel="1">
      <c r="A107" s="117" t="s">
        <v>835</v>
      </c>
      <c r="B107" s="120" t="s">
        <v>836</v>
      </c>
      <c r="C107" s="84"/>
    </row>
    <row r="108" spans="1:3" ht="15" customHeight="1" outlineLevel="1">
      <c r="A108" s="65" t="s">
        <v>837</v>
      </c>
      <c r="B108" s="119">
        <v>2980372100100</v>
      </c>
      <c r="C108" s="85"/>
    </row>
    <row r="109" spans="1:3" ht="15" customHeight="1" outlineLevel="1">
      <c r="A109" s="65" t="s">
        <v>838</v>
      </c>
      <c r="B109" s="73">
        <v>2980332100000</v>
      </c>
      <c r="C109" s="70"/>
    </row>
    <row r="110" spans="1:3" ht="15" customHeight="1" outlineLevel="1" thickBot="1">
      <c r="A110" s="95" t="s">
        <v>839</v>
      </c>
      <c r="B110" s="96">
        <v>2980372100000</v>
      </c>
      <c r="C110" s="88"/>
    </row>
    <row r="111" spans="1:3" ht="15" customHeight="1" outlineLevel="1" thickBot="1">
      <c r="A111" s="253" t="s">
        <v>840</v>
      </c>
      <c r="B111" s="254"/>
      <c r="C111" s="255"/>
    </row>
    <row r="112" spans="1:3" ht="15" customHeight="1" outlineLevel="1">
      <c r="A112" s="99" t="s">
        <v>841</v>
      </c>
      <c r="B112" s="100" t="s">
        <v>842</v>
      </c>
      <c r="C112" s="74"/>
    </row>
    <row r="113" spans="1:3" ht="15" customHeight="1" outlineLevel="1">
      <c r="A113" s="78" t="s">
        <v>843</v>
      </c>
      <c r="B113" s="69" t="s">
        <v>844</v>
      </c>
      <c r="C113" s="70"/>
    </row>
    <row r="114" spans="1:3" ht="15" customHeight="1" outlineLevel="1">
      <c r="A114" s="78" t="s">
        <v>845</v>
      </c>
      <c r="B114" s="69" t="s">
        <v>846</v>
      </c>
      <c r="C114" s="70"/>
    </row>
    <row r="115" spans="1:3" ht="15" customHeight="1" outlineLevel="1">
      <c r="A115" s="78" t="s">
        <v>847</v>
      </c>
      <c r="B115" s="69" t="s">
        <v>848</v>
      </c>
      <c r="C115" s="70"/>
    </row>
    <row r="116" spans="1:3" ht="15" customHeight="1" outlineLevel="1">
      <c r="A116" s="78" t="s">
        <v>849</v>
      </c>
      <c r="B116" s="69" t="s">
        <v>850</v>
      </c>
      <c r="C116" s="70"/>
    </row>
    <row r="117" spans="1:3" ht="15" customHeight="1" thickBot="1">
      <c r="A117" s="89" t="s">
        <v>851</v>
      </c>
      <c r="B117" s="86" t="s">
        <v>852</v>
      </c>
      <c r="C117" s="134" t="s">
        <v>853</v>
      </c>
    </row>
    <row r="118" spans="1:3" ht="15" customHeight="1" thickBot="1">
      <c r="A118" s="262" t="s">
        <v>854</v>
      </c>
      <c r="B118" s="263"/>
      <c r="C118" s="264"/>
    </row>
    <row r="119" spans="1:3" ht="15" customHeight="1" outlineLevel="1">
      <c r="A119" s="37" t="s">
        <v>855</v>
      </c>
      <c r="B119" s="13" t="s">
        <v>856</v>
      </c>
      <c r="C119" s="14"/>
    </row>
    <row r="120" spans="1:3" ht="15" customHeight="1" outlineLevel="1">
      <c r="A120" s="37" t="s">
        <v>857</v>
      </c>
      <c r="B120" s="13" t="s">
        <v>858</v>
      </c>
      <c r="C120" s="14"/>
    </row>
    <row r="121" spans="1:3" ht="15" customHeight="1" outlineLevel="1">
      <c r="A121" s="107" t="s">
        <v>859</v>
      </c>
      <c r="B121" s="12" t="s">
        <v>860</v>
      </c>
      <c r="C121" s="90"/>
    </row>
    <row r="122" spans="1:3" ht="15" customHeight="1" outlineLevel="1">
      <c r="A122" s="114" t="s">
        <v>861</v>
      </c>
      <c r="B122" s="114"/>
      <c r="C122" s="115" t="s">
        <v>862</v>
      </c>
    </row>
    <row r="123" spans="1:3" ht="15" customHeight="1" thickBot="1">
      <c r="C123" s="116"/>
    </row>
    <row r="124" spans="1:3" ht="15" customHeight="1" thickBot="1">
      <c r="A124" s="275" t="s">
        <v>863</v>
      </c>
      <c r="B124" s="276"/>
      <c r="C124" s="277"/>
    </row>
    <row r="125" spans="1:3" ht="15" customHeight="1" outlineLevel="1">
      <c r="A125" s="99" t="s">
        <v>864</v>
      </c>
      <c r="B125" s="100" t="s">
        <v>865</v>
      </c>
      <c r="C125" s="74"/>
    </row>
    <row r="126" spans="1:3" ht="15" customHeight="1" outlineLevel="1">
      <c r="A126" s="78" t="s">
        <v>866</v>
      </c>
      <c r="B126" s="69" t="s">
        <v>867</v>
      </c>
      <c r="C126" s="70" t="s">
        <v>868</v>
      </c>
    </row>
    <row r="127" spans="1:3" ht="15" customHeight="1" outlineLevel="1">
      <c r="A127" s="78" t="s">
        <v>869</v>
      </c>
      <c r="B127" s="69" t="s">
        <v>870</v>
      </c>
      <c r="C127" s="70" t="s">
        <v>868</v>
      </c>
    </row>
    <row r="128" spans="1:3" ht="15" customHeight="1" outlineLevel="1">
      <c r="A128" s="78" t="s">
        <v>871</v>
      </c>
      <c r="B128" s="69" t="s">
        <v>872</v>
      </c>
      <c r="C128" s="70" t="s">
        <v>873</v>
      </c>
    </row>
    <row r="129" spans="1:3" ht="15" customHeight="1" outlineLevel="1">
      <c r="A129" s="78" t="s">
        <v>874</v>
      </c>
      <c r="B129" s="69" t="s">
        <v>875</v>
      </c>
      <c r="C129" s="70" t="s">
        <v>876</v>
      </c>
    </row>
    <row r="130" spans="1:3" ht="15" customHeight="1" outlineLevel="1">
      <c r="A130" s="87" t="s">
        <v>877</v>
      </c>
      <c r="B130" s="91" t="s">
        <v>878</v>
      </c>
      <c r="C130" s="88">
        <v>4315542</v>
      </c>
    </row>
    <row r="131" spans="1:3" ht="15" customHeight="1" outlineLevel="1" thickBot="1">
      <c r="A131" s="78" t="s">
        <v>879</v>
      </c>
      <c r="B131" s="69" t="s">
        <v>880</v>
      </c>
      <c r="C131" s="70"/>
    </row>
    <row r="132" spans="1:3" ht="15" customHeight="1" outlineLevel="1" thickBot="1">
      <c r="A132" s="265" t="s">
        <v>881</v>
      </c>
      <c r="B132" s="266"/>
      <c r="C132" s="267"/>
    </row>
    <row r="133" spans="1:3" ht="15" customHeight="1" outlineLevel="1">
      <c r="A133" s="38" t="s">
        <v>882</v>
      </c>
      <c r="B133" s="17" t="s">
        <v>883</v>
      </c>
      <c r="C133" s="16"/>
    </row>
    <row r="134" spans="1:3" ht="15" customHeight="1" outlineLevel="1">
      <c r="A134" s="39" t="s">
        <v>884</v>
      </c>
      <c r="B134" s="64" t="s">
        <v>885</v>
      </c>
      <c r="C134" s="16"/>
    </row>
    <row r="135" spans="1:3" ht="15" customHeight="1" outlineLevel="1">
      <c r="A135" s="40" t="s">
        <v>886</v>
      </c>
      <c r="B135" s="19">
        <v>4611375003</v>
      </c>
      <c r="C135" s="14" t="s">
        <v>632</v>
      </c>
    </row>
    <row r="136" spans="1:3" ht="15" customHeight="1" outlineLevel="1">
      <c r="A136" s="40" t="s">
        <v>887</v>
      </c>
      <c r="B136" s="19" t="s">
        <v>888</v>
      </c>
      <c r="C136" s="14"/>
    </row>
    <row r="137" spans="1:3" ht="15" customHeight="1" outlineLevel="1" thickBot="1">
      <c r="A137" s="40" t="s">
        <v>889</v>
      </c>
      <c r="B137" s="19">
        <v>7612</v>
      </c>
      <c r="C137" s="14"/>
    </row>
    <row r="138" spans="1:3" ht="15" customHeight="1" outlineLevel="1" thickBot="1">
      <c r="A138" s="268" t="s">
        <v>890</v>
      </c>
      <c r="B138" s="269"/>
      <c r="C138" s="270"/>
    </row>
    <row r="139" spans="1:3" ht="15" customHeight="1" outlineLevel="1">
      <c r="A139" s="37" t="s">
        <v>891</v>
      </c>
      <c r="B139" s="15" t="s">
        <v>892</v>
      </c>
      <c r="C139" s="16" t="s">
        <v>632</v>
      </c>
    </row>
    <row r="140" spans="1:3" ht="15" customHeight="1" outlineLevel="1">
      <c r="A140" s="37" t="s">
        <v>893</v>
      </c>
      <c r="B140" s="15" t="s">
        <v>894</v>
      </c>
      <c r="C140" s="16" t="s">
        <v>632</v>
      </c>
    </row>
    <row r="141" spans="1:3" ht="15" customHeight="1" outlineLevel="1">
      <c r="A141" s="37" t="s">
        <v>895</v>
      </c>
      <c r="B141" s="15" t="s">
        <v>896</v>
      </c>
      <c r="C141" s="16" t="s">
        <v>897</v>
      </c>
    </row>
    <row r="142" spans="1:3" ht="15" customHeight="1" outlineLevel="1" thickBot="1">
      <c r="A142" s="93"/>
      <c r="B142" s="105"/>
      <c r="C142" s="21"/>
    </row>
    <row r="143" spans="1:3" ht="15" customHeight="1" outlineLevel="1" thickBot="1">
      <c r="A143" s="268" t="s">
        <v>898</v>
      </c>
      <c r="B143" s="269"/>
      <c r="C143" s="270"/>
    </row>
    <row r="144" spans="1:3" ht="15" customHeight="1" outlineLevel="1">
      <c r="A144" s="41" t="s">
        <v>891</v>
      </c>
      <c r="B144" s="20" t="s">
        <v>892</v>
      </c>
      <c r="C144" s="14"/>
    </row>
    <row r="145" spans="1:3" ht="15" customHeight="1" outlineLevel="1">
      <c r="A145" s="42" t="s">
        <v>893</v>
      </c>
      <c r="B145" s="19" t="s">
        <v>899</v>
      </c>
      <c r="C145" s="14" t="s">
        <v>632</v>
      </c>
    </row>
    <row r="146" spans="1:3" ht="15" customHeight="1" outlineLevel="1">
      <c r="A146" s="37" t="s">
        <v>900</v>
      </c>
      <c r="B146" s="18" t="s">
        <v>901</v>
      </c>
      <c r="C146" s="14"/>
    </row>
    <row r="147" spans="1:3" ht="15" customHeight="1" outlineLevel="1" thickBot="1">
      <c r="A147" s="42"/>
      <c r="B147" s="19"/>
      <c r="C147" s="14"/>
    </row>
    <row r="148" spans="1:3" ht="15" customHeight="1" outlineLevel="1" thickBot="1">
      <c r="A148" s="268" t="s">
        <v>902</v>
      </c>
      <c r="B148" s="269"/>
      <c r="C148" s="270"/>
    </row>
    <row r="149" spans="1:3" ht="15" customHeight="1" outlineLevel="1">
      <c r="A149" s="42" t="s">
        <v>900</v>
      </c>
      <c r="B149" s="69" t="s">
        <v>901</v>
      </c>
      <c r="C149" s="14"/>
    </row>
    <row r="150" spans="1:3" ht="15" customHeight="1" outlineLevel="1">
      <c r="A150" s="42" t="s">
        <v>893</v>
      </c>
      <c r="B150" s="69" t="s">
        <v>899</v>
      </c>
      <c r="C150" s="14"/>
    </row>
    <row r="151" spans="1:3" ht="15" customHeight="1">
      <c r="A151" s="107"/>
      <c r="B151" s="86"/>
      <c r="C151" s="90"/>
    </row>
    <row r="152" spans="1:3" ht="15" customHeight="1">
      <c r="A152" s="274" t="s">
        <v>903</v>
      </c>
      <c r="B152" s="274"/>
      <c r="C152" s="274"/>
    </row>
    <row r="153" spans="1:3" ht="15" customHeight="1" thickBot="1">
      <c r="A153" s="168" t="s">
        <v>893</v>
      </c>
      <c r="B153" s="169" t="s">
        <v>904</v>
      </c>
      <c r="C153" s="168"/>
    </row>
    <row r="154" spans="1:3" ht="15" customHeight="1" thickBot="1">
      <c r="A154" s="271" t="s">
        <v>905</v>
      </c>
      <c r="B154" s="272"/>
      <c r="C154" s="273"/>
    </row>
    <row r="155" spans="1:3" ht="15" customHeight="1" outlineLevel="1">
      <c r="A155" s="54" t="s">
        <v>906</v>
      </c>
      <c r="B155" s="55" t="s">
        <v>907</v>
      </c>
      <c r="C155" s="56"/>
    </row>
    <row r="156" spans="1:3" ht="15" customHeight="1" outlineLevel="1">
      <c r="A156" s="49" t="s">
        <v>908</v>
      </c>
      <c r="B156" s="27">
        <v>89794077</v>
      </c>
      <c r="C156" s="28"/>
    </row>
    <row r="157" spans="1:3" ht="15" customHeight="1" outlineLevel="1">
      <c r="A157" s="48" t="s">
        <v>909</v>
      </c>
      <c r="B157" s="25">
        <v>89794015</v>
      </c>
      <c r="C157" s="26" t="s">
        <v>910</v>
      </c>
    </row>
    <row r="158" spans="1:3" ht="15" customHeight="1" outlineLevel="1">
      <c r="A158" s="48" t="s">
        <v>911</v>
      </c>
      <c r="B158" s="25" t="s">
        <v>912</v>
      </c>
      <c r="C158" s="26"/>
    </row>
    <row r="159" spans="1:3" ht="15" customHeight="1" thickBot="1">
      <c r="B159" s="1"/>
      <c r="C159" s="63"/>
    </row>
    <row r="160" spans="1:3" ht="15" customHeight="1" thickBot="1">
      <c r="A160" s="244" t="s">
        <v>913</v>
      </c>
      <c r="B160" s="245"/>
      <c r="C160" s="246"/>
    </row>
    <row r="161" spans="1:3" ht="15" customHeight="1" outlineLevel="1">
      <c r="A161" s="51" t="s">
        <v>914</v>
      </c>
      <c r="B161" s="29" t="s">
        <v>628</v>
      </c>
      <c r="C161" s="30" t="s">
        <v>629</v>
      </c>
    </row>
    <row r="162" spans="1:3" ht="15" customHeight="1" outlineLevel="1">
      <c r="A162" s="44" t="s">
        <v>915</v>
      </c>
      <c r="B162" s="19">
        <v>9932</v>
      </c>
      <c r="C162" s="22" t="s">
        <v>916</v>
      </c>
    </row>
    <row r="163" spans="1:3" ht="15" customHeight="1" outlineLevel="1">
      <c r="A163" s="44" t="s">
        <v>917</v>
      </c>
      <c r="B163" s="19">
        <v>90150</v>
      </c>
      <c r="C163" s="22" t="s">
        <v>916</v>
      </c>
    </row>
    <row r="164" spans="1:3" ht="15" customHeight="1" outlineLevel="1">
      <c r="A164" s="44" t="s">
        <v>918</v>
      </c>
      <c r="B164" s="19" t="s">
        <v>919</v>
      </c>
      <c r="C164" s="22" t="s">
        <v>920</v>
      </c>
    </row>
    <row r="165" spans="1:3" ht="15" customHeight="1" outlineLevel="1">
      <c r="A165" s="44" t="s">
        <v>921</v>
      </c>
      <c r="B165" s="19" t="s">
        <v>922</v>
      </c>
      <c r="C165" s="22" t="s">
        <v>923</v>
      </c>
    </row>
    <row r="166" spans="1:3" ht="15" customHeight="1" outlineLevel="1">
      <c r="A166" s="44" t="s">
        <v>924</v>
      </c>
      <c r="B166" s="19" t="s">
        <v>925</v>
      </c>
      <c r="C166" s="22" t="s">
        <v>916</v>
      </c>
    </row>
    <row r="167" spans="1:3" ht="15" customHeight="1" outlineLevel="1">
      <c r="A167" s="44" t="s">
        <v>926</v>
      </c>
      <c r="B167" s="19" t="s">
        <v>927</v>
      </c>
      <c r="C167" s="22" t="s">
        <v>916</v>
      </c>
    </row>
    <row r="168" spans="1:3" ht="15" customHeight="1" outlineLevel="1">
      <c r="A168" s="44" t="s">
        <v>928</v>
      </c>
      <c r="B168" s="19" t="s">
        <v>929</v>
      </c>
      <c r="C168" s="22" t="s">
        <v>923</v>
      </c>
    </row>
    <row r="169" spans="1:3" ht="15" customHeight="1" outlineLevel="1">
      <c r="A169" s="247" t="s">
        <v>930</v>
      </c>
      <c r="B169" s="248"/>
      <c r="C169" s="249"/>
    </row>
    <row r="170" spans="1:3" ht="15" customHeight="1" outlineLevel="1">
      <c r="A170" s="44" t="s">
        <v>931</v>
      </c>
      <c r="B170" s="19" t="s">
        <v>932</v>
      </c>
      <c r="C170" s="11" t="s">
        <v>933</v>
      </c>
    </row>
    <row r="171" spans="1:3" ht="15" customHeight="1" outlineLevel="1">
      <c r="A171" s="44" t="s">
        <v>934</v>
      </c>
      <c r="B171" s="19" t="s">
        <v>935</v>
      </c>
      <c r="C171" s="11" t="s">
        <v>936</v>
      </c>
    </row>
    <row r="172" spans="1:3" ht="15" customHeight="1" outlineLevel="1">
      <c r="A172" s="44" t="s">
        <v>937</v>
      </c>
      <c r="B172" s="19" t="s">
        <v>938</v>
      </c>
      <c r="C172" s="11" t="s">
        <v>936</v>
      </c>
    </row>
    <row r="173" spans="1:3" ht="15" customHeight="1" outlineLevel="1">
      <c r="A173" s="45" t="s">
        <v>939</v>
      </c>
      <c r="B173" s="31" t="s">
        <v>940</v>
      </c>
      <c r="C173" s="11"/>
    </row>
    <row r="174" spans="1:3" ht="15" customHeight="1" outlineLevel="1">
      <c r="A174" s="45" t="s">
        <v>941</v>
      </c>
      <c r="B174" s="23" t="s">
        <v>942</v>
      </c>
      <c r="C174" s="11" t="s">
        <v>933</v>
      </c>
    </row>
    <row r="175" spans="1:3" ht="15" customHeight="1" outlineLevel="1">
      <c r="A175" s="45" t="s">
        <v>943</v>
      </c>
      <c r="B175" s="23" t="s">
        <v>944</v>
      </c>
      <c r="C175" s="11"/>
    </row>
    <row r="176" spans="1:3" ht="15" customHeight="1" outlineLevel="1">
      <c r="A176" s="45" t="s">
        <v>945</v>
      </c>
      <c r="B176" s="23" t="s">
        <v>946</v>
      </c>
      <c r="C176" s="11" t="s">
        <v>947</v>
      </c>
    </row>
    <row r="177" spans="1:3" ht="15" customHeight="1" outlineLevel="1">
      <c r="A177" s="52" t="s">
        <v>948</v>
      </c>
      <c r="B177" s="32" t="s">
        <v>949</v>
      </c>
      <c r="C177" s="24" t="s">
        <v>950</v>
      </c>
    </row>
    <row r="178" spans="1:3" ht="15" customHeight="1" outlineLevel="1">
      <c r="A178" s="52" t="s">
        <v>951</v>
      </c>
      <c r="B178" s="32" t="s">
        <v>952</v>
      </c>
      <c r="C178" s="24" t="s">
        <v>953</v>
      </c>
    </row>
    <row r="179" spans="1:3" ht="15" customHeight="1" outlineLevel="1">
      <c r="A179" s="53" t="s">
        <v>917</v>
      </c>
      <c r="B179" s="33" t="s">
        <v>954</v>
      </c>
      <c r="C179" s="11" t="s">
        <v>953</v>
      </c>
    </row>
    <row r="180" spans="1:3" ht="15" customHeight="1">
      <c r="A180" t="s">
        <v>955</v>
      </c>
      <c r="B180" s="34"/>
      <c r="C180" s="12"/>
    </row>
    <row r="181" spans="1:3" ht="15" customHeight="1">
      <c r="A181" t="s">
        <v>956</v>
      </c>
      <c r="B181" s="1" t="s">
        <v>957</v>
      </c>
      <c r="C181" s="12"/>
    </row>
    <row r="182" spans="1:3" ht="15" customHeight="1">
      <c r="B182" s="1"/>
      <c r="C182" s="12"/>
    </row>
    <row r="183" spans="1:3" ht="21.75" customHeight="1"/>
    <row r="188" spans="1:3" ht="15" customHeight="1">
      <c r="A188" s="50"/>
      <c r="B188" s="50"/>
    </row>
    <row r="189" spans="1:3" ht="15" customHeight="1" outlineLevel="1">
      <c r="A189" s="61"/>
      <c r="B189" s="106"/>
      <c r="C189" s="62"/>
    </row>
    <row r="190" spans="1:3" ht="15" customHeight="1" outlineLevel="1">
      <c r="A190" s="44" t="s">
        <v>958</v>
      </c>
      <c r="B190" s="19" t="s">
        <v>959</v>
      </c>
      <c r="C190" s="11"/>
    </row>
    <row r="191" spans="1:3" ht="15" customHeight="1" outlineLevel="1">
      <c r="A191" s="44" t="s">
        <v>960</v>
      </c>
      <c r="B191" s="19" t="s">
        <v>961</v>
      </c>
      <c r="C191" s="11"/>
    </row>
    <row r="192" spans="1:3" ht="15" customHeight="1" outlineLevel="1">
      <c r="A192" s="44" t="s">
        <v>962</v>
      </c>
      <c r="B192" s="19" t="s">
        <v>963</v>
      </c>
      <c r="C192" s="11"/>
    </row>
    <row r="193" spans="1:3" ht="15" customHeight="1" outlineLevel="1">
      <c r="A193" s="46" t="s">
        <v>964</v>
      </c>
      <c r="B193" s="18" t="s">
        <v>965</v>
      </c>
      <c r="C193" s="24"/>
    </row>
    <row r="194" spans="1:3" ht="15" customHeight="1" outlineLevel="1">
      <c r="A194" s="46" t="s">
        <v>966</v>
      </c>
      <c r="B194" s="18" t="s">
        <v>967</v>
      </c>
      <c r="C194" s="24"/>
    </row>
    <row r="195" spans="1:3" ht="15" customHeight="1" outlineLevel="1">
      <c r="A195" s="44" t="s">
        <v>968</v>
      </c>
      <c r="B195" s="19" t="s">
        <v>969</v>
      </c>
      <c r="C195" s="11"/>
    </row>
    <row r="196" spans="1:3" ht="15" customHeight="1" outlineLevel="1">
      <c r="A196" s="44" t="s">
        <v>970</v>
      </c>
      <c r="B196" s="19" t="s">
        <v>971</v>
      </c>
      <c r="C196" s="11"/>
    </row>
    <row r="197" spans="1:3" ht="15" customHeight="1" outlineLevel="1">
      <c r="A197" s="47" t="s">
        <v>972</v>
      </c>
      <c r="B197" s="19" t="s">
        <v>973</v>
      </c>
      <c r="C197" s="11"/>
    </row>
    <row r="198" spans="1:3" ht="15" customHeight="1" outlineLevel="1">
      <c r="A198" s="44" t="s">
        <v>974</v>
      </c>
      <c r="B198" s="19" t="s">
        <v>975</v>
      </c>
      <c r="C198" s="11"/>
    </row>
    <row r="199" spans="1:3" ht="15" customHeight="1" outlineLevel="1">
      <c r="A199" s="44" t="s">
        <v>976</v>
      </c>
      <c r="B199" s="22" t="s">
        <v>976</v>
      </c>
      <c r="C199" s="11" t="s">
        <v>977</v>
      </c>
    </row>
    <row r="200" spans="1:3" ht="15" customHeight="1" outlineLevel="1">
      <c r="A200" s="44" t="s">
        <v>978</v>
      </c>
      <c r="B200" s="22" t="s">
        <v>978</v>
      </c>
      <c r="C200" s="11" t="s">
        <v>977</v>
      </c>
    </row>
    <row r="201" spans="1:3" ht="15" customHeight="1" outlineLevel="1">
      <c r="A201" s="44" t="s">
        <v>979</v>
      </c>
      <c r="B201" s="19" t="s">
        <v>980</v>
      </c>
      <c r="C201" s="11"/>
    </row>
    <row r="202" spans="1:3" ht="15" customHeight="1" outlineLevel="1">
      <c r="A202" s="44" t="s">
        <v>981</v>
      </c>
      <c r="B202" s="19" t="s">
        <v>982</v>
      </c>
      <c r="C202" s="11"/>
    </row>
    <row r="203" spans="1:3" ht="15" customHeight="1" outlineLevel="1">
      <c r="A203" s="44" t="s">
        <v>983</v>
      </c>
      <c r="B203" s="19" t="s">
        <v>984</v>
      </c>
      <c r="C203" s="11"/>
    </row>
    <row r="204" spans="1:3" ht="15" customHeight="1" outlineLevel="1">
      <c r="A204" s="48" t="s">
        <v>985</v>
      </c>
      <c r="B204" s="25" t="s">
        <v>674</v>
      </c>
      <c r="C204" s="26"/>
    </row>
    <row r="205" spans="1:3" ht="15" customHeight="1" outlineLevel="1">
      <c r="A205" s="48" t="s">
        <v>986</v>
      </c>
      <c r="B205" s="25" t="s">
        <v>987</v>
      </c>
      <c r="C205" s="26" t="s">
        <v>988</v>
      </c>
    </row>
    <row r="206" spans="1:3" ht="15" customHeight="1" outlineLevel="1">
      <c r="A206" s="48" t="s">
        <v>989</v>
      </c>
      <c r="B206" s="25" t="s">
        <v>987</v>
      </c>
      <c r="C206" s="26" t="s">
        <v>990</v>
      </c>
    </row>
    <row r="207" spans="1:3" ht="15" customHeight="1" outlineLevel="1">
      <c r="A207" s="48" t="s">
        <v>991</v>
      </c>
      <c r="B207" s="25" t="s">
        <v>992</v>
      </c>
      <c r="C207" s="26" t="s">
        <v>993</v>
      </c>
    </row>
    <row r="208" spans="1:3" ht="15" customHeight="1" outlineLevel="1">
      <c r="A208" s="49" t="s">
        <v>994</v>
      </c>
      <c r="B208" s="27" t="s">
        <v>995</v>
      </c>
      <c r="C208" s="28" t="s">
        <v>996</v>
      </c>
    </row>
    <row r="209" spans="1:3" ht="15" customHeight="1" outlineLevel="1">
      <c r="A209" s="48" t="s">
        <v>997</v>
      </c>
      <c r="B209" s="25" t="s">
        <v>998</v>
      </c>
      <c r="C209" s="26"/>
    </row>
    <row r="210" spans="1:3" ht="15" customHeight="1" outlineLevel="1">
      <c r="A210" s="48">
        <v>80</v>
      </c>
      <c r="B210" s="25">
        <v>770440</v>
      </c>
      <c r="C210" s="26"/>
    </row>
    <row r="211" spans="1:3" ht="15" customHeight="1" outlineLevel="1">
      <c r="A211" s="49"/>
      <c r="B211" s="27"/>
      <c r="C211" s="28"/>
    </row>
    <row r="212" spans="1:3" ht="15" customHeight="1" outlineLevel="1">
      <c r="A212" s="57"/>
      <c r="B212" s="58"/>
      <c r="C212" s="59"/>
    </row>
    <row r="213" spans="1:3" ht="15" customHeight="1" outlineLevel="1">
      <c r="A213" s="48" t="s">
        <v>999</v>
      </c>
      <c r="B213" s="25" t="s">
        <v>1000</v>
      </c>
      <c r="C213" s="26"/>
    </row>
    <row r="214" spans="1:3" ht="15" customHeight="1" outlineLevel="1">
      <c r="A214" s="48" t="s">
        <v>1001</v>
      </c>
      <c r="B214" s="26" t="s">
        <v>1002</v>
      </c>
      <c r="C214" s="26" t="s">
        <v>1003</v>
      </c>
    </row>
    <row r="215" spans="1:3" ht="15" customHeight="1" outlineLevel="1">
      <c r="A215" s="48" t="s">
        <v>1004</v>
      </c>
      <c r="B215" s="26" t="s">
        <v>1005</v>
      </c>
      <c r="C215" s="26"/>
    </row>
    <row r="216" spans="1:3" ht="15" customHeight="1" outlineLevel="1">
      <c r="A216" s="48" t="s">
        <v>1006</v>
      </c>
      <c r="B216" s="25" t="s">
        <v>1007</v>
      </c>
      <c r="C216" s="28"/>
    </row>
    <row r="217" spans="1:3" ht="15" customHeight="1" outlineLevel="1">
      <c r="A217" s="48" t="s">
        <v>1008</v>
      </c>
      <c r="B217" s="25" t="s">
        <v>1009</v>
      </c>
      <c r="C217" s="26"/>
    </row>
    <row r="218" spans="1:3" ht="15" customHeight="1" outlineLevel="1">
      <c r="A218" s="48" t="s">
        <v>1010</v>
      </c>
      <c r="B218" s="25" t="s">
        <v>1011</v>
      </c>
      <c r="C218" s="26"/>
    </row>
    <row r="219" spans="1:3" ht="15" customHeight="1" outlineLevel="1">
      <c r="A219" s="48" t="s">
        <v>1012</v>
      </c>
      <c r="B219" s="25" t="s">
        <v>1002</v>
      </c>
      <c r="C219" s="26"/>
    </row>
    <row r="220" spans="1:3" ht="15" customHeight="1" outlineLevel="1">
      <c r="A220" s="49" t="s">
        <v>1013</v>
      </c>
      <c r="B220" s="27">
        <v>1301960021</v>
      </c>
      <c r="C220" s="28"/>
    </row>
    <row r="221" spans="1:3" ht="15" customHeight="1" outlineLevel="1">
      <c r="A221" s="48" t="s">
        <v>1014</v>
      </c>
      <c r="B221" s="25" t="s">
        <v>1015</v>
      </c>
      <c r="C221" s="26"/>
    </row>
    <row r="222" spans="1:3" ht="15" customHeight="1" outlineLevel="1">
      <c r="A222" s="49" t="s">
        <v>1016</v>
      </c>
      <c r="B222" s="27" t="s">
        <v>1017</v>
      </c>
      <c r="C222" s="28"/>
    </row>
  </sheetData>
  <mergeCells count="20">
    <mergeCell ref="A154:C154"/>
    <mergeCell ref="A69:C69"/>
    <mergeCell ref="A152:C152"/>
    <mergeCell ref="A124:C124"/>
    <mergeCell ref="A3:C3"/>
    <mergeCell ref="A74:C74"/>
    <mergeCell ref="A1:C1"/>
    <mergeCell ref="A160:C160"/>
    <mergeCell ref="A169:C169"/>
    <mergeCell ref="A34:C34"/>
    <mergeCell ref="A111:C111"/>
    <mergeCell ref="A103:C103"/>
    <mergeCell ref="A47:C47"/>
    <mergeCell ref="A63:C63"/>
    <mergeCell ref="A54:C54"/>
    <mergeCell ref="A118:C118"/>
    <mergeCell ref="A132:C132"/>
    <mergeCell ref="A138:C138"/>
    <mergeCell ref="A143:C143"/>
    <mergeCell ref="A148:C148"/>
  </mergeCells>
  <hyperlinks>
    <hyperlink ref="B136" r:id="rId1" display="https://w3.airbus.com/1T40/document/729815_SGML_C/search?q=MS17825-4%20(96906)&amp;wc=actype:A318;actype:A319;actype:A320;actype:A321;customization:HKE&amp;multimsn=true" xr:uid="{FE59A45C-396E-4F5E-B221-0F80AC3F9D74}"/>
    <hyperlink ref="C100" r:id="rId2" location="HW_1" xr:uid="{6DF06F4E-9973-4058-A3ED-06F5BAF13056}"/>
    <hyperlink ref="C97" r:id="rId3" display="https://hkexpress.comply365.net/DCM/MyDocuments/ViewPublication/9d9a9641-f334-ef11-8076-dc98402a19cb" xr:uid="{15223490-7006-493E-9F2F-F4C778E3543B}"/>
    <hyperlink ref="C122" r:id="rId4" xr:uid="{8B0ACB84-64E2-458D-9C6D-506B0BD26D21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8E6A0-1144-4E00-B3D3-05C21D64B886}">
  <sheetPr codeName="Sheet4"/>
  <dimension ref="A1:V24"/>
  <sheetViews>
    <sheetView topLeftCell="B1" workbookViewId="0">
      <selection activeCell="B20" sqref="B20"/>
    </sheetView>
  </sheetViews>
  <sheetFormatPr defaultRowHeight="15"/>
  <cols>
    <col min="2" max="3" width="22.140625" style="126" customWidth="1"/>
    <col min="15" max="15" width="14.85546875" bestFit="1" customWidth="1"/>
    <col min="16" max="16" width="11.42578125" customWidth="1"/>
    <col min="20" max="20" width="13.85546875" customWidth="1"/>
    <col min="22" max="22" width="13.140625" customWidth="1"/>
  </cols>
  <sheetData>
    <row r="1" spans="1:22">
      <c r="A1" t="s">
        <v>180</v>
      </c>
      <c r="B1" t="str" cm="1">
        <f t="array" ref="B1:B24">IF('Table 2'!U1="T1",Filter!O2:O25,IF('Table 2'!U1="T2",Filter!P2:P25,IF('Table 2'!U1="T3",Filter!Q2:Q25,IF('Table 2'!U1="T4",Filter!R2:R25,""))))</f>
        <v>Jacky Wong</v>
      </c>
      <c r="C1" s="126" t="str" cm="1">
        <f t="array" ref="C1:C19">IF('Table 2'!U1="T1",Filter!S2:S20,IF('Table 2'!U1="T2",Filter!T2:T20,IF('Table 2'!U1="T3",Filter!U2:U20,IF('Table 2'!U1="T4",Filter!V2:V20,""))))</f>
        <v>Rock Fan</v>
      </c>
      <c r="O1" t="s">
        <v>1018</v>
      </c>
      <c r="P1" t="s">
        <v>281</v>
      </c>
      <c r="Q1" t="s">
        <v>20</v>
      </c>
      <c r="R1" t="s">
        <v>1019</v>
      </c>
      <c r="S1" t="s">
        <v>1018</v>
      </c>
      <c r="T1" t="s">
        <v>281</v>
      </c>
      <c r="U1" t="s">
        <v>20</v>
      </c>
      <c r="V1" t="s">
        <v>1019</v>
      </c>
    </row>
    <row r="2" spans="1:22">
      <c r="B2" t="str">
        <v>Dewey To</v>
      </c>
      <c r="C2" s="126" t="str">
        <v>Anthony Solomo</v>
      </c>
      <c r="O2" t="s">
        <v>475</v>
      </c>
      <c r="P2" t="s">
        <v>476</v>
      </c>
      <c r="Q2" t="s">
        <v>262</v>
      </c>
      <c r="R2" t="s">
        <v>317</v>
      </c>
      <c r="S2" t="s">
        <v>322</v>
      </c>
      <c r="T2" t="s">
        <v>378</v>
      </c>
      <c r="U2" s="137" t="s">
        <v>241</v>
      </c>
      <c r="V2" t="s">
        <v>1020</v>
      </c>
    </row>
    <row r="3" spans="1:22">
      <c r="B3" t="str">
        <v>Jack Huen</v>
      </c>
      <c r="C3" s="126" t="str">
        <v>Henry You</v>
      </c>
      <c r="O3" t="s">
        <v>1021</v>
      </c>
      <c r="P3" t="s">
        <v>477</v>
      </c>
      <c r="Q3" t="s">
        <v>297</v>
      </c>
      <c r="R3" t="s">
        <v>313</v>
      </c>
      <c r="S3" t="s">
        <v>1022</v>
      </c>
      <c r="T3" t="s">
        <v>336</v>
      </c>
      <c r="U3" s="137" t="s">
        <v>263</v>
      </c>
      <c r="V3" t="s">
        <v>1023</v>
      </c>
    </row>
    <row r="4" spans="1:22">
      <c r="B4" t="str">
        <v>Terrell Wong</v>
      </c>
      <c r="C4" s="126" t="str">
        <v>Kelvin Liu</v>
      </c>
      <c r="O4" t="s">
        <v>474</v>
      </c>
      <c r="P4" t="s">
        <v>486</v>
      </c>
      <c r="Q4" t="s">
        <v>289</v>
      </c>
      <c r="R4" t="s">
        <v>320</v>
      </c>
      <c r="S4" t="s">
        <v>1024</v>
      </c>
      <c r="T4" t="s">
        <v>338</v>
      </c>
      <c r="U4" s="137" t="s">
        <v>251</v>
      </c>
      <c r="V4" t="s">
        <v>305</v>
      </c>
    </row>
    <row r="5" spans="1:22">
      <c r="B5" t="str">
        <v>Jeffrey Wong</v>
      </c>
      <c r="C5" s="126" t="str">
        <v>Ryan Xu</v>
      </c>
      <c r="O5" t="s">
        <v>1025</v>
      </c>
      <c r="P5" t="s">
        <v>487</v>
      </c>
      <c r="Q5" t="s">
        <v>275</v>
      </c>
      <c r="R5" t="s">
        <v>491</v>
      </c>
      <c r="S5" t="s">
        <v>1026</v>
      </c>
      <c r="T5" t="s">
        <v>340</v>
      </c>
      <c r="U5" s="137" t="s">
        <v>481</v>
      </c>
      <c r="V5" t="s">
        <v>315</v>
      </c>
    </row>
    <row r="6" spans="1:22">
      <c r="B6" t="str">
        <v>Rock Fan</v>
      </c>
      <c r="C6" s="126" t="str">
        <v>Vincent Jiang</v>
      </c>
      <c r="O6" t="s">
        <v>484</v>
      </c>
      <c r="P6" t="s">
        <v>383</v>
      </c>
      <c r="Q6" t="s">
        <v>1027</v>
      </c>
      <c r="R6" t="s">
        <v>304</v>
      </c>
      <c r="S6" t="s">
        <v>1028</v>
      </c>
      <c r="T6" t="s">
        <v>1029</v>
      </c>
      <c r="U6" s="137" t="s">
        <v>299</v>
      </c>
      <c r="V6" t="s">
        <v>318</v>
      </c>
    </row>
    <row r="7" spans="1:22">
      <c r="B7" t="str">
        <v>Anthony Solomo</v>
      </c>
      <c r="C7" s="126" t="str">
        <v>Kevin Du</v>
      </c>
      <c r="O7" t="s">
        <v>322</v>
      </c>
      <c r="P7" t="s">
        <v>385</v>
      </c>
      <c r="Q7" t="s">
        <v>387</v>
      </c>
      <c r="R7" t="s">
        <v>521</v>
      </c>
      <c r="S7" t="s">
        <v>1030</v>
      </c>
      <c r="T7" t="s">
        <v>345</v>
      </c>
      <c r="U7" s="137" t="s">
        <v>269</v>
      </c>
      <c r="V7" t="s">
        <v>314</v>
      </c>
    </row>
    <row r="8" spans="1:22">
      <c r="B8" t="str">
        <v>Henry You</v>
      </c>
      <c r="C8" s="126" t="str">
        <v>T4</v>
      </c>
      <c r="O8" t="s">
        <v>1022</v>
      </c>
      <c r="P8" t="s">
        <v>1031</v>
      </c>
      <c r="Q8" t="s">
        <v>241</v>
      </c>
      <c r="R8" t="s">
        <v>319</v>
      </c>
      <c r="S8" t="s">
        <v>1032</v>
      </c>
      <c r="T8" t="s">
        <v>1033</v>
      </c>
      <c r="U8" s="137" t="s">
        <v>1034</v>
      </c>
      <c r="V8" t="s">
        <v>1035</v>
      </c>
    </row>
    <row r="9" spans="1:22">
      <c r="B9" t="str">
        <v>Kelvin Liu</v>
      </c>
      <c r="C9" s="126">
        <v>0</v>
      </c>
      <c r="O9" t="s">
        <v>1024</v>
      </c>
      <c r="Q9" t="s">
        <v>263</v>
      </c>
      <c r="R9" t="s">
        <v>20</v>
      </c>
      <c r="S9" t="s">
        <v>1019</v>
      </c>
      <c r="U9" s="137" t="s">
        <v>1036</v>
      </c>
      <c r="V9" t="s">
        <v>20</v>
      </c>
    </row>
    <row r="10" spans="1:22">
      <c r="B10" t="str">
        <v>Kevin Du</v>
      </c>
      <c r="C10" s="126" t="str">
        <v>Michael Mai</v>
      </c>
      <c r="O10" t="s">
        <v>1026</v>
      </c>
      <c r="Q10" t="s">
        <v>251</v>
      </c>
      <c r="R10" t="s">
        <v>1018</v>
      </c>
      <c r="U10" t="s">
        <v>276</v>
      </c>
      <c r="V10" t="s">
        <v>1018</v>
      </c>
    </row>
    <row r="11" spans="1:22">
      <c r="B11" t="str">
        <v>Ryan Xu</v>
      </c>
      <c r="C11" s="126" t="str">
        <v>Kimi Zhou</v>
      </c>
      <c r="O11" t="s">
        <v>1032</v>
      </c>
      <c r="Q11" t="s">
        <v>481</v>
      </c>
      <c r="S11" t="s">
        <v>1020</v>
      </c>
      <c r="U11" t="s">
        <v>1037</v>
      </c>
      <c r="V11" t="s">
        <v>467</v>
      </c>
    </row>
    <row r="12" spans="1:22">
      <c r="B12" t="str">
        <v>Vincent Jiang</v>
      </c>
      <c r="C12" s="126" t="str">
        <v>Andy Celestial</v>
      </c>
      <c r="O12" t="s">
        <v>1028</v>
      </c>
      <c r="Q12" t="s">
        <v>299</v>
      </c>
      <c r="S12" t="s">
        <v>1023</v>
      </c>
      <c r="U12" t="s">
        <v>1038</v>
      </c>
    </row>
    <row r="13" spans="1:22">
      <c r="B13" t="str">
        <v>Michail Law</v>
      </c>
      <c r="C13" s="126" t="str">
        <v>Chris Chi</v>
      </c>
      <c r="O13" t="s">
        <v>1030</v>
      </c>
      <c r="Q13" t="s">
        <v>269</v>
      </c>
      <c r="S13" t="s">
        <v>305</v>
      </c>
      <c r="U13" t="s">
        <v>1024</v>
      </c>
    </row>
    <row r="14" spans="1:22">
      <c r="B14" t="str">
        <v>Leo Au Yeung</v>
      </c>
      <c r="C14" s="126" t="str">
        <v>Jack Huo</v>
      </c>
      <c r="O14" t="s">
        <v>1039</v>
      </c>
      <c r="Q14" t="s">
        <v>281</v>
      </c>
      <c r="S14" t="s">
        <v>315</v>
      </c>
      <c r="U14" t="s">
        <v>1040</v>
      </c>
    </row>
    <row r="15" spans="1:22">
      <c r="B15" t="str">
        <v>victor Chan</v>
      </c>
      <c r="C15" s="126" t="str">
        <v>Wayne Hu</v>
      </c>
      <c r="O15" t="s">
        <v>1126</v>
      </c>
      <c r="Q15" t="s">
        <v>298</v>
      </c>
      <c r="S15" t="s">
        <v>318</v>
      </c>
      <c r="U15" t="s">
        <v>294</v>
      </c>
    </row>
    <row r="16" spans="1:22">
      <c r="B16" s="126" t="str">
        <v>Alson</v>
      </c>
      <c r="C16" s="126" t="str">
        <v>Sean Zhuang</v>
      </c>
      <c r="O16" t="s">
        <v>1041</v>
      </c>
      <c r="S16" t="s">
        <v>314</v>
      </c>
      <c r="U16" t="s">
        <v>282</v>
      </c>
    </row>
    <row r="17" spans="2:21">
      <c r="B17" s="126" t="str">
        <v>Ivy</v>
      </c>
      <c r="C17" s="126">
        <v>0</v>
      </c>
      <c r="O17" t="s">
        <v>1132</v>
      </c>
      <c r="S17" t="s">
        <v>1035</v>
      </c>
      <c r="U17" t="s">
        <v>267</v>
      </c>
    </row>
    <row r="18" spans="2:21">
      <c r="B18" s="126" t="str">
        <v>Jason</v>
      </c>
      <c r="C18" s="126">
        <v>0</v>
      </c>
      <c r="O18" t="s">
        <v>1133</v>
      </c>
    </row>
    <row r="19" spans="2:21">
      <c r="B19" s="126" t="str">
        <v>Asher</v>
      </c>
      <c r="C19" s="126">
        <v>0</v>
      </c>
      <c r="O19" t="s">
        <v>1121</v>
      </c>
    </row>
    <row r="20" spans="2:21">
      <c r="B20" s="126" t="str">
        <v>Mark</v>
      </c>
      <c r="O20" t="s">
        <v>1122</v>
      </c>
    </row>
    <row r="21" spans="2:21">
      <c r="B21" s="126">
        <v>0</v>
      </c>
      <c r="O21" t="s">
        <v>1123</v>
      </c>
    </row>
    <row r="22" spans="2:21">
      <c r="B22" s="126">
        <v>0</v>
      </c>
    </row>
    <row r="23" spans="2:21">
      <c r="B23" s="126">
        <v>0</v>
      </c>
    </row>
    <row r="24" spans="2:21">
      <c r="B24" s="12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4E02-C9E7-4ED6-B900-3A32C9F55A3B}">
  <sheetPr codeName="Sheet6"/>
  <dimension ref="A1:N34"/>
  <sheetViews>
    <sheetView topLeftCell="A6" zoomScaleNormal="100" workbookViewId="0">
      <selection activeCell="A13" sqref="A13:H13"/>
    </sheetView>
  </sheetViews>
  <sheetFormatPr defaultRowHeight="15"/>
  <cols>
    <col min="1" max="1" width="8.7109375" customWidth="1"/>
    <col min="2" max="6" width="14.5703125" bestFit="1" customWidth="1"/>
  </cols>
  <sheetData>
    <row r="1" spans="1:14" ht="15.75" thickBot="1"/>
    <row r="2" spans="1:14" ht="94.5" thickBot="1">
      <c r="B2" s="9" t="s">
        <v>1042</v>
      </c>
      <c r="C2" s="8" t="s">
        <v>1043</v>
      </c>
      <c r="D2" s="8" t="s">
        <v>1044</v>
      </c>
      <c r="E2" s="81" t="s">
        <v>1045</v>
      </c>
      <c r="F2" s="8" t="s">
        <v>1045</v>
      </c>
      <c r="G2" s="82" t="s">
        <v>1046</v>
      </c>
      <c r="H2" s="1" t="s">
        <v>303</v>
      </c>
      <c r="I2" s="1"/>
      <c r="N2" t="s">
        <v>1047</v>
      </c>
    </row>
    <row r="3" spans="1:14" ht="15" customHeight="1" thickBot="1">
      <c r="G3" s="82"/>
    </row>
    <row r="4" spans="1:14" ht="94.5" thickBot="1">
      <c r="B4" s="8" t="s">
        <v>1044</v>
      </c>
      <c r="C4" s="8" t="s">
        <v>1044</v>
      </c>
      <c r="D4" s="8" t="s">
        <v>1048</v>
      </c>
      <c r="E4" s="81" t="s">
        <v>1048</v>
      </c>
      <c r="F4" s="8" t="s">
        <v>1048</v>
      </c>
      <c r="G4" s="82" t="s">
        <v>1049</v>
      </c>
      <c r="H4" s="1" t="s">
        <v>1050</v>
      </c>
      <c r="I4" s="1"/>
    </row>
    <row r="5" spans="1:14" ht="15" customHeight="1" thickBot="1">
      <c r="A5" s="124"/>
      <c r="G5" s="82"/>
      <c r="L5" t="s">
        <v>1045</v>
      </c>
    </row>
    <row r="6" spans="1:14" ht="94.5" thickBot="1">
      <c r="B6" s="8" t="s">
        <v>1043</v>
      </c>
      <c r="C6" s="8" t="s">
        <v>1048</v>
      </c>
      <c r="D6" s="8" t="s">
        <v>1042</v>
      </c>
      <c r="E6" s="81" t="s">
        <v>1042</v>
      </c>
      <c r="F6" s="8" t="s">
        <v>1048</v>
      </c>
      <c r="G6" s="82"/>
      <c r="H6" s="1"/>
      <c r="I6" s="1"/>
      <c r="K6" t="s">
        <v>1045</v>
      </c>
    </row>
    <row r="7" spans="1:14" ht="15" customHeight="1" thickBot="1">
      <c r="A7" s="124"/>
      <c r="G7" s="82"/>
    </row>
    <row r="8" spans="1:14" ht="94.5" thickBot="1">
      <c r="A8" s="124"/>
      <c r="B8" s="8" t="s">
        <v>1043</v>
      </c>
      <c r="C8" s="8" t="s">
        <v>1047</v>
      </c>
      <c r="D8" s="8" t="s">
        <v>1043</v>
      </c>
      <c r="E8" s="81" t="s">
        <v>1042</v>
      </c>
      <c r="F8" s="8" t="s">
        <v>1047</v>
      </c>
      <c r="G8" s="82" t="s">
        <v>1051</v>
      </c>
      <c r="H8" s="1" t="s">
        <v>1052</v>
      </c>
    </row>
    <row r="9" spans="1:14" ht="15" customHeight="1" thickBot="1">
      <c r="A9" s="124"/>
    </row>
    <row r="10" spans="1:14" ht="75.75" customHeight="1" thickBot="1">
      <c r="A10" s="124"/>
      <c r="B10" s="8" t="s">
        <v>1048</v>
      </c>
      <c r="C10" s="8" t="s">
        <v>1042</v>
      </c>
      <c r="D10" s="8" t="s">
        <v>1047</v>
      </c>
      <c r="E10" s="81" t="s">
        <v>1042</v>
      </c>
      <c r="F10" s="8" t="s">
        <v>1042</v>
      </c>
      <c r="G10" s="82" t="s">
        <v>1053</v>
      </c>
      <c r="H10" s="1" t="s">
        <v>42</v>
      </c>
    </row>
    <row r="11" spans="1:14" ht="15" customHeight="1"/>
    <row r="12" spans="1:14" ht="15" customHeight="1"/>
    <row r="13" spans="1:14" ht="15" customHeight="1">
      <c r="A13" s="278" t="s">
        <v>1054</v>
      </c>
      <c r="B13" s="278"/>
      <c r="C13" s="278"/>
      <c r="D13" s="278"/>
      <c r="E13" s="278"/>
      <c r="F13" s="278"/>
      <c r="G13" s="278"/>
      <c r="H13" s="278"/>
    </row>
    <row r="14" spans="1:14">
      <c r="A14" s="279" t="s">
        <v>1055</v>
      </c>
      <c r="B14" s="279"/>
      <c r="C14" s="279"/>
      <c r="D14" s="279"/>
      <c r="E14" s="279"/>
      <c r="F14" s="279"/>
      <c r="G14" s="279"/>
      <c r="H14" s="279"/>
    </row>
    <row r="15" spans="1:14">
      <c r="A15" s="83"/>
      <c r="B15" s="83">
        <v>185</v>
      </c>
      <c r="C15" s="83">
        <v>181</v>
      </c>
      <c r="D15" s="83">
        <v>214</v>
      </c>
      <c r="E15" s="83">
        <v>219</v>
      </c>
      <c r="F15" s="83">
        <v>217</v>
      </c>
      <c r="G15" s="83">
        <v>210</v>
      </c>
    </row>
    <row r="16" spans="1:14">
      <c r="A16" s="279" t="s">
        <v>1056</v>
      </c>
      <c r="B16" s="279"/>
      <c r="C16" s="279"/>
      <c r="D16" s="279"/>
      <c r="E16" s="279"/>
      <c r="F16" s="279"/>
      <c r="G16" s="279"/>
      <c r="H16" s="279"/>
    </row>
    <row r="17" spans="1:7">
      <c r="A17" s="83"/>
      <c r="B17" s="83">
        <v>173</v>
      </c>
      <c r="C17" s="83">
        <v>177</v>
      </c>
      <c r="D17" s="83">
        <v>222</v>
      </c>
      <c r="E17" s="83">
        <v>216</v>
      </c>
      <c r="F17" s="83">
        <v>214</v>
      </c>
      <c r="G17" s="83">
        <v>217</v>
      </c>
    </row>
    <row r="20" spans="1:7" ht="18.75">
      <c r="A20" s="121" t="s">
        <v>1057</v>
      </c>
      <c r="B20" t="s">
        <v>1058</v>
      </c>
      <c r="D20" t="s">
        <v>1059</v>
      </c>
      <c r="F20" t="s">
        <v>1060</v>
      </c>
    </row>
    <row r="21" spans="1:7" ht="15" customHeight="1">
      <c r="B21" t="s">
        <v>1061</v>
      </c>
      <c r="C21" s="6">
        <v>4.5</v>
      </c>
      <c r="D21" s="122" t="s">
        <v>1062</v>
      </c>
      <c r="F21" t="s">
        <v>1063</v>
      </c>
      <c r="G21" s="6">
        <f>C27</f>
        <v>7.04</v>
      </c>
    </row>
    <row r="22" spans="1:7">
      <c r="B22" t="s">
        <v>1064</v>
      </c>
      <c r="C22" s="6">
        <v>4.93</v>
      </c>
      <c r="D22" s="122" t="s">
        <v>1065</v>
      </c>
      <c r="F22" t="s">
        <v>1061</v>
      </c>
      <c r="G22" s="6">
        <f>C21</f>
        <v>4.5</v>
      </c>
    </row>
    <row r="23" spans="1:7">
      <c r="B23" t="s">
        <v>1066</v>
      </c>
      <c r="C23" s="6">
        <v>9.24</v>
      </c>
      <c r="D23" s="123" t="s">
        <v>1067</v>
      </c>
      <c r="F23" t="s">
        <v>1066</v>
      </c>
      <c r="G23" s="6">
        <f>C23</f>
        <v>9.24</v>
      </c>
    </row>
    <row r="24" spans="1:7">
      <c r="B24" t="s">
        <v>1068</v>
      </c>
      <c r="C24" s="6">
        <v>1.1000000000000001</v>
      </c>
      <c r="D24" s="122" t="s">
        <v>1069</v>
      </c>
      <c r="F24" t="s">
        <v>1070</v>
      </c>
      <c r="G24" s="6">
        <v>3.94</v>
      </c>
    </row>
    <row r="25" spans="1:7">
      <c r="B25" t="s">
        <v>1071</v>
      </c>
      <c r="C25" s="6">
        <v>0.88</v>
      </c>
      <c r="D25" s="122" t="s">
        <v>1072</v>
      </c>
      <c r="F25" t="s">
        <v>1073</v>
      </c>
      <c r="G25" s="6">
        <f>C32</f>
        <v>5.72</v>
      </c>
    </row>
    <row r="26" spans="1:7">
      <c r="B26" t="s">
        <v>1074</v>
      </c>
      <c r="C26" s="6">
        <v>12.43</v>
      </c>
      <c r="D26" s="122" t="s">
        <v>1075</v>
      </c>
    </row>
    <row r="27" spans="1:7">
      <c r="B27" t="s">
        <v>1076</v>
      </c>
      <c r="C27" s="6">
        <v>7.04</v>
      </c>
      <c r="D27" s="122" t="s">
        <v>1077</v>
      </c>
    </row>
    <row r="28" spans="1:7">
      <c r="C28" s="6"/>
      <c r="D28" s="122"/>
    </row>
    <row r="29" spans="1:7">
      <c r="B29" t="s">
        <v>1071</v>
      </c>
      <c r="C29" s="6">
        <v>2.56</v>
      </c>
      <c r="D29" s="122" t="s">
        <v>1072</v>
      </c>
    </row>
    <row r="30" spans="1:7">
      <c r="B30" t="s">
        <v>1078</v>
      </c>
      <c r="C30" s="6">
        <v>1.07</v>
      </c>
      <c r="D30" s="122" t="s">
        <v>1079</v>
      </c>
    </row>
    <row r="31" spans="1:7">
      <c r="C31" s="6"/>
      <c r="D31" s="122"/>
    </row>
    <row r="32" spans="1:7">
      <c r="B32" t="s">
        <v>1080</v>
      </c>
      <c r="C32" s="6">
        <v>5.72</v>
      </c>
      <c r="D32" s="122" t="s">
        <v>1081</v>
      </c>
    </row>
    <row r="33" spans="2:4">
      <c r="B33" t="s">
        <v>1082</v>
      </c>
      <c r="C33" s="6">
        <v>7.76</v>
      </c>
      <c r="D33" s="122" t="s">
        <v>1083</v>
      </c>
    </row>
    <row r="34" spans="2:4">
      <c r="B34" t="s">
        <v>1084</v>
      </c>
      <c r="C34" s="6">
        <v>8.02</v>
      </c>
      <c r="D34" s="122" t="s">
        <v>1083</v>
      </c>
    </row>
  </sheetData>
  <mergeCells count="3">
    <mergeCell ref="A13:H13"/>
    <mergeCell ref="A14:H14"/>
    <mergeCell ref="A16:H16"/>
  </mergeCells>
  <dataValidations count="2">
    <dataValidation type="list" allowBlank="1" showInputMessage="1" showErrorMessage="1" sqref="G2" xr:uid="{3AB21283-343C-44AB-B18E-A05C104CB887}">
      <formula1>"202-210,211-219,212-218,201-209"</formula1>
    </dataValidation>
    <dataValidation type="list" allowBlank="1" showInputMessage="1" showErrorMessage="1" sqref="G4 G6 G10 G8" xr:uid="{204A7238-A810-46BF-9E37-2F8FA15F2A89}">
      <formula1>"202-210,212-218,201-209,211-219"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1" r:id="rId3" name="CommandButton3">
          <controlPr defaultSize="0" autoLine="0" r:id="rId4">
            <anchor moveWithCells="1">
              <from>
                <xdr:col>4</xdr:col>
                <xdr:colOff>161925</xdr:colOff>
                <xdr:row>20</xdr:row>
                <xdr:rowOff>19050</xdr:rowOff>
              </from>
              <to>
                <xdr:col>4</xdr:col>
                <xdr:colOff>771525</xdr:colOff>
                <xdr:row>21</xdr:row>
                <xdr:rowOff>123825</xdr:rowOff>
              </to>
            </anchor>
          </controlPr>
        </control>
      </mc:Choice>
      <mc:Fallback>
        <control shapeId="7171" r:id="rId3" name="CommandButton3"/>
      </mc:Fallback>
    </mc:AlternateContent>
    <mc:AlternateContent xmlns:mc="http://schemas.openxmlformats.org/markup-compatibility/2006">
      <mc:Choice Requires="x14">
        <control shapeId="7170" r:id="rId5" name="CommandButton2">
          <controlPr defaultSize="0" autoLine="0" r:id="rId4">
            <anchor moveWithCells="1">
              <from>
                <xdr:col>7</xdr:col>
                <xdr:colOff>142875</xdr:colOff>
                <xdr:row>14</xdr:row>
                <xdr:rowOff>161925</xdr:rowOff>
              </from>
              <to>
                <xdr:col>8</xdr:col>
                <xdr:colOff>142875</xdr:colOff>
                <xdr:row>16</xdr:row>
                <xdr:rowOff>76200</xdr:rowOff>
              </to>
            </anchor>
          </controlPr>
        </control>
      </mc:Choice>
      <mc:Fallback>
        <control shapeId="7170" r:id="rId5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10</xdr:col>
                <xdr:colOff>228600</xdr:colOff>
                <xdr:row>9</xdr:row>
                <xdr:rowOff>114300</xdr:rowOff>
              </from>
              <to>
                <xdr:col>11</xdr:col>
                <xdr:colOff>485775</xdr:colOff>
                <xdr:row>9</xdr:row>
                <xdr:rowOff>419100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criptIds xmlns="http://schemas.microsoft.com/office/extensibility/maker/v1.0" id="script-ids-node-id"/>
</file>

<file path=customXml/item2.xml>�� 
</file>

<file path=customXml/itemProps1.xml><?xml version="1.0" encoding="utf-8"?>
<ds:datastoreItem xmlns:ds="http://schemas.openxmlformats.org/officeDocument/2006/customXml" ds:itemID="{E611FF94-6E82-4154-B2DB-7812F8B49EDA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D63A6069-D837-4634-BC24-1198A34FAD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Table 2</vt:lpstr>
      <vt:lpstr>Assign</vt:lpstr>
      <vt:lpstr>DWA</vt:lpstr>
      <vt:lpstr>PN FAST</vt:lpstr>
      <vt:lpstr>Filter</vt:lpstr>
      <vt:lpstr>Lucky</vt:lpstr>
      <vt:lpstr>'Table 2'!Print_Area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Terrell TY Wong</cp:lastModifiedBy>
  <cp:revision/>
  <dcterms:created xsi:type="dcterms:W3CDTF">2024-09-03T08:15:08Z</dcterms:created>
  <dcterms:modified xsi:type="dcterms:W3CDTF">2026-02-13T07:27:23Z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34b855-16ff-44cf-b1f4-edd0a8b71a6a_Enabled">
    <vt:lpwstr>true</vt:lpwstr>
  </property>
  <property fmtid="{D5CDD505-2E9C-101B-9397-08002B2CF9AE}" pid="3" name="MSIP_Label_a534b855-16ff-44cf-b1f4-edd0a8b71a6a_SetDate">
    <vt:lpwstr>2024-10-15T03:31:20Z</vt:lpwstr>
  </property>
  <property fmtid="{D5CDD505-2E9C-101B-9397-08002B2CF9AE}" pid="4" name="MSIP_Label_a534b855-16ff-44cf-b1f4-edd0a8b71a6a_Method">
    <vt:lpwstr>Standard</vt:lpwstr>
  </property>
  <property fmtid="{D5CDD505-2E9C-101B-9397-08002B2CF9AE}" pid="5" name="MSIP_Label_a534b855-16ff-44cf-b1f4-edd0a8b71a6a_Name">
    <vt:lpwstr>a534b855-16ff-44cf-b1f4-edd0a8b71a6a</vt:lpwstr>
  </property>
  <property fmtid="{D5CDD505-2E9C-101B-9397-08002B2CF9AE}" pid="6" name="MSIP_Label_a534b855-16ff-44cf-b1f4-edd0a8b71a6a_SiteId">
    <vt:lpwstr>9dcc1e39-12ef-4ef1-a3d6-f46d9097f602</vt:lpwstr>
  </property>
  <property fmtid="{D5CDD505-2E9C-101B-9397-08002B2CF9AE}" pid="7" name="MSIP_Label_a534b855-16ff-44cf-b1f4-edd0a8b71a6a_ActionId">
    <vt:lpwstr>a283a396-a482-4d76-bf0b-872b97fe3280</vt:lpwstr>
  </property>
  <property fmtid="{D5CDD505-2E9C-101B-9397-08002B2CF9AE}" pid="8" name="MSIP_Label_a534b855-16ff-44cf-b1f4-edd0a8b71a6a_ContentBits">
    <vt:lpwstr>0</vt:lpwstr>
  </property>
</Properties>
</file>